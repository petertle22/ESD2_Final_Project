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filterPrivacy="1" codeName="ThisWorkbook" autoCompressPictures="0"/>
  <xr:revisionPtr revIDLastSave="0" documentId="13_ncr:1_{D54E0BE1-65B2-420E-81F1-92238B9AF56E}" xr6:coauthVersionLast="47" xr6:coauthVersionMax="47" xr10:uidLastSave="{00000000-0000-0000-0000-000000000000}"/>
  <bookViews>
    <workbookView xWindow="-28920" yWindow="0" windowWidth="29040" windowHeight="15840" tabRatio="773" activeTab="3" xr2:uid="{00000000-000D-0000-FFFF-FFFF00000000}"/>
  </bookViews>
  <sheets>
    <sheet name="project" sheetId="1" r:id="rId1"/>
    <sheet name="TimeSheetReal" sheetId="4" r:id="rId2"/>
    <sheet name="TimeSheet" sheetId="2" r:id="rId3"/>
    <sheet name="PDR Task List" sheetId="6" r:id="rId4"/>
  </sheets>
  <definedNames>
    <definedName name="totalHours" localSheetId="3">'PDR Task List'!$C$41</definedName>
    <definedName name="totalHours">project!$C$34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27" i="2" l="1"/>
  <c r="J26" i="2"/>
  <c r="J25" i="2"/>
  <c r="J24" i="2"/>
  <c r="J23" i="2"/>
  <c r="J22" i="2"/>
  <c r="K7" i="2"/>
  <c r="K5" i="2"/>
  <c r="M4" i="4"/>
  <c r="M3" i="4"/>
  <c r="U47" i="4"/>
  <c r="U46" i="4"/>
  <c r="U45" i="4"/>
  <c r="U44" i="4"/>
  <c r="U43" i="4"/>
  <c r="U42" i="4"/>
  <c r="U39" i="4"/>
  <c r="U38" i="4"/>
  <c r="U37" i="4"/>
  <c r="U36" i="4"/>
  <c r="U35" i="4"/>
  <c r="U34" i="4"/>
  <c r="U31" i="4"/>
  <c r="U30" i="4"/>
  <c r="U29" i="4"/>
  <c r="U28" i="4"/>
  <c r="U27" i="4"/>
  <c r="U26" i="4"/>
  <c r="U23" i="4"/>
  <c r="U22" i="4"/>
  <c r="U21" i="4"/>
  <c r="U20" i="4"/>
  <c r="U19" i="4"/>
  <c r="U18" i="4"/>
  <c r="U15" i="4"/>
  <c r="U14" i="4"/>
  <c r="U13" i="4"/>
  <c r="U12" i="4"/>
  <c r="U11" i="4"/>
  <c r="U10" i="4"/>
  <c r="J47" i="4"/>
  <c r="J46" i="4"/>
  <c r="J45" i="4"/>
  <c r="J44" i="4"/>
  <c r="J43" i="4"/>
  <c r="J42" i="4"/>
  <c r="J39" i="4"/>
  <c r="J38" i="4"/>
  <c r="J37" i="4"/>
  <c r="J36" i="4"/>
  <c r="J35" i="4"/>
  <c r="J34" i="4"/>
  <c r="J31" i="4"/>
  <c r="J30" i="4"/>
  <c r="J29" i="4"/>
  <c r="J28" i="4"/>
  <c r="J27" i="4"/>
  <c r="J26" i="4"/>
  <c r="J23" i="4"/>
  <c r="J22" i="4"/>
  <c r="J21" i="4"/>
  <c r="J20" i="4"/>
  <c r="J19" i="4"/>
  <c r="J18" i="4"/>
  <c r="J15" i="4"/>
  <c r="J14" i="4"/>
  <c r="J13" i="4"/>
  <c r="J12" i="4"/>
  <c r="J11" i="4"/>
  <c r="J10" i="4"/>
  <c r="M2" i="4" s="1"/>
  <c r="J7" i="4"/>
  <c r="M7" i="4" s="1"/>
  <c r="J6" i="4"/>
  <c r="M6" i="4" s="1"/>
  <c r="J5" i="4"/>
  <c r="M5" i="4" s="1"/>
  <c r="J4" i="4"/>
  <c r="J3" i="4"/>
  <c r="J2" i="4"/>
  <c r="K6" i="2"/>
  <c r="J7" i="2"/>
  <c r="J3" i="2"/>
  <c r="J4" i="2"/>
  <c r="J5" i="2"/>
  <c r="J6" i="2"/>
  <c r="J2" i="2"/>
  <c r="K4" i="2" l="1"/>
  <c r="K2" i="2"/>
  <c r="K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A1DAF4-2B2C-4BA2-8731-238A353E7339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573AF2E2-F7C3-4E7A-BF38-1954493118D1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<sst xmlns="http://schemas.openxmlformats.org/spreadsheetml/2006/main" count="559" uniqueCount="128">
  <si>
    <t>Priority</t>
  </si>
  <si>
    <t>Risk</t>
  </si>
  <si>
    <t>Worker</t>
  </si>
  <si>
    <t>Status</t>
  </si>
  <si>
    <t>Project</t>
  </si>
  <si>
    <t>ToDo</t>
  </si>
  <si>
    <t>Hrs Est</t>
  </si>
  <si>
    <t>Hrs Worked</t>
  </si>
  <si>
    <t>ID</t>
  </si>
  <si>
    <t>Description</t>
  </si>
  <si>
    <t>GUI</t>
  </si>
  <si>
    <t>Serve/Volley Mode</t>
  </si>
  <si>
    <t>Tennis Court Shot Side Input</t>
  </si>
  <si>
    <t>Choose Shot (Angular/Velocity)</t>
  </si>
  <si>
    <t>Coefficient of Restitution Test</t>
  </si>
  <si>
    <t>Instant Replay Shot Mode</t>
  </si>
  <si>
    <t>Pre-Planning</t>
  </si>
  <si>
    <t>Find Cam Position</t>
  </si>
  <si>
    <t>Find Camera Resolution</t>
  </si>
  <si>
    <t>Find min FPS</t>
  </si>
  <si>
    <t>Model Sample Shots</t>
  </si>
  <si>
    <t>Unity</t>
  </si>
  <si>
    <t>Figure out how to move multiple objects</t>
  </si>
  <si>
    <t>Fix Unity Rotation Script</t>
  </si>
  <si>
    <t>3.1.1</t>
  </si>
  <si>
    <t>Investigate how to move multiple objects by adding a name parameter</t>
  </si>
  <si>
    <t>Investigate VDMA 64 bit package to send down a 4k image of the empty court along with the actual ball image</t>
  </si>
  <si>
    <t>Investigate whether we want to do a 2D interpolation or a 3d interpolation</t>
  </si>
  <si>
    <t>Instead of sending RBG,GRAYSCALE =&gt; SEND GRAYSCALE+EMPTYCOURT</t>
  </si>
  <si>
    <t>Investigate FPGA LED flashing</t>
  </si>
  <si>
    <t>Investigate Binarize Image on FPGA</t>
  </si>
  <si>
    <t>Investigate Background Image Subtraction on FPGA</t>
  </si>
  <si>
    <t>Investigate Sobel Filter on FPGA</t>
  </si>
  <si>
    <t>Investigate what the PDR slide show will look like and what is included</t>
  </si>
  <si>
    <t>Investigate how the algorithm performs with shifted camera</t>
  </si>
  <si>
    <t>Decide whether the instant replay will use Unity in 3d or not</t>
  </si>
  <si>
    <t>Coefficient of Restitution</t>
  </si>
  <si>
    <t>Make an algorithm to determine when the ball has hit the ground</t>
  </si>
  <si>
    <t>Make an algorithm to compute the speed of the ball before and after collision with the ground</t>
  </si>
  <si>
    <t>Decide what information we want to include in PDR presentation</t>
  </si>
  <si>
    <t>Decide who (is/are) presenting</t>
  </si>
  <si>
    <t>Names</t>
  </si>
  <si>
    <t>Monday</t>
  </si>
  <si>
    <t>Tuesday</t>
  </si>
  <si>
    <t>Wensday</t>
  </si>
  <si>
    <t>Thrusday</t>
  </si>
  <si>
    <t>Friday</t>
  </si>
  <si>
    <t>Saturday</t>
  </si>
  <si>
    <t>Sunday</t>
  </si>
  <si>
    <t>WeekHours</t>
  </si>
  <si>
    <t>Total Hours</t>
  </si>
  <si>
    <t xml:space="preserve">Chris </t>
  </si>
  <si>
    <t>Dan</t>
  </si>
  <si>
    <t>Peter</t>
  </si>
  <si>
    <t>Week1</t>
  </si>
  <si>
    <t>Week2</t>
  </si>
  <si>
    <t>Week3</t>
  </si>
  <si>
    <t>Week4</t>
  </si>
  <si>
    <t>Week5</t>
  </si>
  <si>
    <t>Week6</t>
  </si>
  <si>
    <t>Week7</t>
  </si>
  <si>
    <t>Week8</t>
  </si>
  <si>
    <t>Week9</t>
  </si>
  <si>
    <t>Week10</t>
  </si>
  <si>
    <t>Week1 hours</t>
  </si>
  <si>
    <t>Jake</t>
  </si>
  <si>
    <t>Cole</t>
  </si>
  <si>
    <t>Sahron</t>
  </si>
  <si>
    <t>Sharon</t>
  </si>
  <si>
    <t>Create Simulation Shots</t>
  </si>
  <si>
    <t>Create Overall Architecture Flow</t>
  </si>
  <si>
    <t>Create MATLAB Simulation of General Architecture</t>
  </si>
  <si>
    <t>Create PDR Presentation</t>
  </si>
  <si>
    <t>Get/Format Official Accuracy Measurements</t>
  </si>
  <si>
    <t>Image Resolution and Colorspace</t>
  </si>
  <si>
    <t>Image Pre-processing</t>
  </si>
  <si>
    <t>Centroid Detection Algorithm</t>
  </si>
  <si>
    <t>Mock draft of GUI (Just visual. No implementation)</t>
  </si>
  <si>
    <t>Ball X,Y,Z Calculation</t>
  </si>
  <si>
    <t>Results Determination</t>
  </si>
  <si>
    <t>2.1.1</t>
  </si>
  <si>
    <t>Investigate if VGA can show ball at worst case</t>
  </si>
  <si>
    <t>2.1.2</t>
  </si>
  <si>
    <t>Investigate if Grayscale can show ball at worst case</t>
  </si>
  <si>
    <t>2.2.1</t>
  </si>
  <si>
    <t>Investigate Sobel filter output of VGA/Grayscale</t>
  </si>
  <si>
    <t>2.2.2</t>
  </si>
  <si>
    <t>Investigate Background Subtraction Accuracy</t>
  </si>
  <si>
    <t>2.2.3</t>
  </si>
  <si>
    <t>2.3.1</t>
  </si>
  <si>
    <t>Prototype centroid detection algo with OpenCV</t>
  </si>
  <si>
    <t>2.3.2</t>
  </si>
  <si>
    <t>Prototype centroid detection algo that can be used in FPGA</t>
  </si>
  <si>
    <t>2.4.1</t>
  </si>
  <si>
    <t>Determine how the X,Y,Z should represent the ball position. (In terms of camera? In 3D Space?)</t>
  </si>
  <si>
    <t>2.4.2</t>
  </si>
  <si>
    <t>2.4.1.1</t>
  </si>
  <si>
    <t>Investigate possible techniques to filter out pixel noise/shadows</t>
  </si>
  <si>
    <t>Create XYZ calculation based on stereo centroid pixel coordinates</t>
  </si>
  <si>
    <t>Determine XYZ accuracy for each centroid detection algo</t>
  </si>
  <si>
    <t>2.5.1</t>
  </si>
  <si>
    <t>Investigate how XYZ position should be stored over t</t>
  </si>
  <si>
    <t>2.5.2</t>
  </si>
  <si>
    <t>Investigate how ROI could be calculated from XYZ over t</t>
  </si>
  <si>
    <t>2.5.3</t>
  </si>
  <si>
    <t xml:space="preserve">Investigate how Ball XYZ position at time of bounce can be calculated </t>
  </si>
  <si>
    <t>2.5.4</t>
  </si>
  <si>
    <t>Determine Min framerate needed for accurate calculations</t>
  </si>
  <si>
    <t>Implement MATLAB prototype to process single UNITY image according to general archirtecture flow</t>
  </si>
  <si>
    <t>Create link for bringing in series of images from simulation shots</t>
  </si>
  <si>
    <t>MATLAB Prototype XYZ position over t from simulation shots</t>
  </si>
  <si>
    <t>Get accuracy measurements of each centroid detection algo's over distance</t>
  </si>
  <si>
    <t>Get accuracy measurements of XYZ over t compared to actual values in simulation shots</t>
  </si>
  <si>
    <t>Include expected accuracy measurements</t>
  </si>
  <si>
    <t>Determine how many of what kind of shots to be made</t>
  </si>
  <si>
    <t>Investigate normal/max expected velocity of shots</t>
  </si>
  <si>
    <t>Determine initial position, velocity, and angle of all shots</t>
  </si>
  <si>
    <t>Create formula for determining ball position at t based on initial conditions</t>
  </si>
  <si>
    <t>Create MATLAB function to call UNITY. (Input: Shot number (initial conditions), t. OUTPUT: UNITY image)</t>
  </si>
  <si>
    <t>Peter/Chris</t>
  </si>
  <si>
    <t>Daniel/Cole</t>
  </si>
  <si>
    <t>Daniel</t>
  </si>
  <si>
    <t>Sharon/Jake</t>
  </si>
  <si>
    <t>Chris</t>
  </si>
  <si>
    <t>All</t>
  </si>
  <si>
    <t>Jake/Daniel/Cole</t>
  </si>
  <si>
    <t>Jake/Cole</t>
  </si>
  <si>
    <t xml:space="preserve"> PDR Presentation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</si>
</sst>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0" fillId="3" borderId="0" xfId="0" applyFill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164" fontId="0" fillId="0" borderId="0" xfId="0" applyNumberFormat="1"/>
    <xf numFmtId="0" fontId="6" fillId="4" borderId="8" xfId="0" applyFont="1" applyFill="1" applyBorder="1"/>
    <xf numFmtId="0" fontId="6" fillId="4" borderId="9" xfId="0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0" borderId="0" xfId="0" applyNumberFormat="1"/>
    <xf numFmtId="2" fontId="6" fillId="4" borderId="8" xfId="0" applyNumberFormat="1" applyFont="1" applyFill="1" applyBorder="1"/>
    <xf numFmtId="164" fontId="0" fillId="0" borderId="8" xfId="0" applyNumberFormat="1" applyBorder="1"/>
    <xf numFmtId="0" fontId="6" fillId="4" borderId="0" xfId="0" applyFont="1" applyFill="1"/>
    <xf numFmtId="0" fontId="0" fillId="0" borderId="11" xfId="0" applyBorder="1"/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2" fillId="0" borderId="2" xfId="0" applyFont="1" applyBorder="1" applyAlignment="1">
      <alignment wrapText="1"/>
    </xf>
    <xf numFmtId="0" fontId="2" fillId="0" borderId="7" xfId="0" applyFont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1657350</xdr:colOff>
          <xdr:row>0</xdr:row>
          <xdr:rowOff>19050</xdr:rowOff>
        </xdr:from>
        <xdr:to>
          <xdr:col>1</xdr:col>
          <xdr:colOff>2352675</xdr:colOff>
          <xdr:row>0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0</xdr:rowOff>
        </xdr:from>
        <xdr:to>
          <xdr:col>1</xdr:col>
          <xdr:colOff>1409700</xdr:colOff>
          <xdr:row>0</xdr:row>
          <xdr:rowOff>171450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1657350</xdr:colOff>
          <xdr:row>0</xdr:row>
          <xdr:rowOff>19050</xdr:rowOff>
        </xdr:from>
        <xdr:to>
          <xdr:col>1</xdr:col>
          <xdr:colOff>2352675</xdr:colOff>
          <xdr:row>0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0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0</xdr:rowOff>
        </xdr:from>
        <xdr:to>
          <xdr:col>1</xdr:col>
          <xdr:colOff>1409700</xdr:colOff>
          <xdr:row>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C977A76-21C2-451F-A8C6-C7983351F3EA}" name="Table14" displayName="Table14" ref="A1:J7" totalsRowShown="0">
  <autoFilter ref="A1:J7" xr:uid="{9C977A76-21C2-451F-A8C6-C7983351F3EA}"/>
  <tableColumns count="10">
    <tableColumn id="16" xr3:uid="{F3D9755B-0189-4903-8CF5-386C135E438E}" name="Week1"/>
    <tableColumn id="1" xr3:uid="{0BF56A1C-F891-4870-A5CB-E5D86EDF66D0}" name="Names"/>
    <tableColumn id="2" xr3:uid="{42AE7B1A-70FD-48E1-B919-F5B3B2C1C6B9}" name="Monday"/>
    <tableColumn id="3" xr3:uid="{15829C8D-7153-4ACE-A7C7-3A85823050B7}" name="Tuesday"/>
    <tableColumn id="4" xr3:uid="{6F8CBAE3-FF6D-485D-8E45-7E0512A3F6BF}" name="Wensday"/>
    <tableColumn id="5" xr3:uid="{1F84B576-0C25-4C6C-ADE3-F36C492BCA9B}" name="Thrusday"/>
    <tableColumn id="6" xr3:uid="{0C6071C7-6F8E-4747-ADE3-80DFD87DB6C4}" name="Friday"/>
    <tableColumn id="7" xr3:uid="{FEE99AA3-7869-4B85-A9A7-13680938F4E4}" name="Saturday"/>
    <tableColumn id="8" xr3:uid="{69B0A767-AE60-41B2-81B4-558B5A4563C5}" name="Sunday"/>
    <tableColumn id="9" xr3:uid="{F80A28B6-825A-40F2-A977-3C2C5A40BF61}" name="WeekHours" dataDxfId="12">
      <calculatedColumnFormula>Table14[[#This Row],[Monday]]+Table14[[#This Row],[Tuesday]]+Table14[[#This Row],[Wensday]]+Table14[[#This Row],[Thrusday]]+Table14[[#This Row],[Friday]]+Table14[[#This Row],[Saturday]]+Table14[[#This Row],[Sunday]]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6281C2-084D-4E91-9D4E-516A1D89C8CC}" name="Table145" displayName="Table145" ref="A9:J15" totalsRowShown="0">
  <autoFilter ref="A9:J15" xr:uid="{416281C2-084D-4E91-9D4E-516A1D89C8CC}"/>
  <tableColumns count="10">
    <tableColumn id="16" xr3:uid="{15F87874-5F27-4013-A38C-88CC97DAD133}" name="Week2"/>
    <tableColumn id="1" xr3:uid="{8941B849-711C-41FC-BFB6-2660D274BE14}" name="Names"/>
    <tableColumn id="2" xr3:uid="{D8A5B28B-E179-4C73-A109-56F84FE1F0E1}" name="Monday"/>
    <tableColumn id="3" xr3:uid="{F3E39558-4E7A-4EAA-8285-A02203C4B78C}" name="Tuesday"/>
    <tableColumn id="4" xr3:uid="{80494A14-B296-4FA1-BB22-1FCEDE61ECB7}" name="Wensday"/>
    <tableColumn id="5" xr3:uid="{1B90821F-2450-409B-B468-651DD924C3DA}" name="Thrusday"/>
    <tableColumn id="6" xr3:uid="{55A24D84-2F62-45EE-AA43-6CA32095EA60}" name="Friday"/>
    <tableColumn id="7" xr3:uid="{97259ABF-F07D-41E6-8190-88FF13C239AE}" name="Saturday"/>
    <tableColumn id="8" xr3:uid="{9B03B473-FB86-40A4-B88A-D12F31DF3D3F}" name="Sunday"/>
    <tableColumn id="9" xr3:uid="{8B4314B7-1149-44F3-B162-047CE700C3A9}" name="WeekHours" dataDxfId="11">
      <calculatedColumnFormula>Table145[[#This Row],[Monday]]+Table145[[#This Row],[Tuesday]]+Table145[[#This Row],[Wensday]]+Table145[[#This Row],[Thrusday]]+Table145[[#This Row],[Friday]]+Table145[[#This Row],[Saturday]]+Table145[[#This Row],[Sunday]]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3F5D34-2392-4264-A66A-10CA62BAE0AC}" name="Table1456" displayName="Table1456" ref="A17:J23" totalsRowShown="0">
  <autoFilter ref="A17:J23" xr:uid="{A53F5D34-2392-4264-A66A-10CA62BAE0AC}"/>
  <tableColumns count="10">
    <tableColumn id="16" xr3:uid="{B1C31166-6677-4C47-A1B8-F705C9F7A4D0}" name="Week3"/>
    <tableColumn id="1" xr3:uid="{E533BFBC-4E18-480D-B557-1C2C16F9A21B}" name="Names"/>
    <tableColumn id="2" xr3:uid="{18E3C3E7-6E4A-4D2A-BD9A-23518C263ADB}" name="Monday"/>
    <tableColumn id="3" xr3:uid="{B0F8A651-FF15-40C0-8982-C7B7562B5E49}" name="Tuesday"/>
    <tableColumn id="4" xr3:uid="{70FCF203-4249-4634-A989-6D232DD5A1D0}" name="Wensday"/>
    <tableColumn id="5" xr3:uid="{D1D901F7-5744-43C2-862B-A942E90D88A5}" name="Thrusday"/>
    <tableColumn id="6" xr3:uid="{92C7E7F4-D9DD-4416-9F0B-19E6C5783997}" name="Friday"/>
    <tableColumn id="7" xr3:uid="{335480F5-AEE8-44FA-BD91-644CE1EA76BF}" name="Saturday"/>
    <tableColumn id="8" xr3:uid="{A8C6DEB3-FF16-40F6-BF89-D578C7F9D538}" name="Sunday"/>
    <tableColumn id="9" xr3:uid="{2DC3402E-54CA-4AB3-9309-13105D243785}" name="WeekHours" dataDxfId="10">
      <calculatedColumnFormula>Table1456[[#This Row],[Monday]]+Table1456[[#This Row],[Tuesday]]+Table1456[[#This Row],[Wensday]]+Table1456[[#This Row],[Thrusday]]+Table1456[[#This Row],[Friday]]+Table1456[[#This Row],[Saturday]]+Table1456[[#This Row],[Sunday]]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B6374D-3C23-4E3F-9B16-8601DE431562}" name="Table14567" displayName="Table14567" ref="A25:J31" totalsRowShown="0">
  <autoFilter ref="A25:J31" xr:uid="{B4B6374D-3C23-4E3F-9B16-8601DE431562}"/>
  <tableColumns count="10">
    <tableColumn id="16" xr3:uid="{CE85BF0B-53FE-46A7-8DB4-354F6A319BFD}" name="Week3"/>
    <tableColumn id="1" xr3:uid="{91357568-C434-4C57-B969-C307B2541FD7}" name="Names"/>
    <tableColumn id="2" xr3:uid="{39C222CF-BFA5-4279-ACE4-FB2451D5F1B0}" name="Monday"/>
    <tableColumn id="3" xr3:uid="{3BFDDBA8-AECA-4789-BFB0-F8C9372C3C0A}" name="Tuesday"/>
    <tableColumn id="4" xr3:uid="{CCCA292F-30A6-4B3D-98BA-B0BB640B1551}" name="Wensday"/>
    <tableColumn id="5" xr3:uid="{BF974705-CF41-493F-9056-BBEAEA6F7CCC}" name="Thrusday"/>
    <tableColumn id="6" xr3:uid="{CFCE0D33-8CC0-4994-9A17-8D76DC9E2DDD}" name="Friday"/>
    <tableColumn id="7" xr3:uid="{1B517B85-52E0-4514-A67F-37160B69D7D0}" name="Saturday"/>
    <tableColumn id="8" xr3:uid="{3674CDEF-76AA-4C01-9538-A07FC7160129}" name="Sunday"/>
    <tableColumn id="9" xr3:uid="{973A7026-D163-4620-95B2-C01B1718B746}" name="WeekHours" dataDxfId="9">
      <calculatedColumnFormula>Table14567[[#This Row],[Monday]]+Table14567[[#This Row],[Tuesday]]+Table14567[[#This Row],[Wensday]]+Table14567[[#This Row],[Thrusday]]+Table14567[[#This Row],[Friday]]+Table14567[[#This Row],[Saturday]]+Table14567[[#This Row],[Sunday]]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4A120F6-081B-44C3-A20B-7DFB387D14A5}" name="Table145678" displayName="Table145678" ref="A33:J39" totalsRowShown="0">
  <autoFilter ref="A33:J39" xr:uid="{F4A120F6-081B-44C3-A20B-7DFB387D14A5}"/>
  <tableColumns count="10">
    <tableColumn id="16" xr3:uid="{F40E387C-5894-4328-8A2F-A55709454E95}" name="Week4"/>
    <tableColumn id="1" xr3:uid="{C860AB68-2395-4862-80E6-2452DA223AEE}" name="Names"/>
    <tableColumn id="2" xr3:uid="{049F7834-CBAF-4938-9A93-D8B2FE1F6AA7}" name="Monday"/>
    <tableColumn id="3" xr3:uid="{1C6248EE-1635-4456-80E7-5B14B5B62FC0}" name="Tuesday"/>
    <tableColumn id="4" xr3:uid="{D23B009F-5B89-405B-B3AB-E573620FAF08}" name="Wensday"/>
    <tableColumn id="5" xr3:uid="{2DA13531-C434-4F63-9809-D82F0E986D0E}" name="Thrusday"/>
    <tableColumn id="6" xr3:uid="{64897DA0-D8AA-4124-B9BC-D3FEA37D22A1}" name="Friday"/>
    <tableColumn id="7" xr3:uid="{6A0E9CDE-0A95-4469-976B-84E7EABE8307}" name="Saturday"/>
    <tableColumn id="8" xr3:uid="{5620C4B1-C40E-42DB-944B-C08B984DA64B}" name="Sunday"/>
    <tableColumn id="9" xr3:uid="{04AEF45B-29D0-42E0-BCCA-988370586C48}" name="WeekHours" dataDxfId="8">
      <calculatedColumnFormula>Table145678[[#This Row],[Monday]]+Table145678[[#This Row],[Tuesday]]+Table145678[[#This Row],[Wensday]]+Table145678[[#This Row],[Thrusday]]+Table145678[[#This Row],[Friday]]+Table145678[[#This Row],[Saturday]]+Table145678[[#This Row],[Sunday]]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70768F-97F5-4559-BC89-FAA0D7431F3E}" name="Table1456789" displayName="Table1456789" ref="A41:J47" totalsRowShown="0">
  <autoFilter ref="A41:J47" xr:uid="{0070768F-97F5-4559-BC89-FAA0D7431F3E}"/>
  <tableColumns count="10">
    <tableColumn id="16" xr3:uid="{C803762C-9754-4DBE-A61E-265B40DC0FB4}" name="Week5"/>
    <tableColumn id="1" xr3:uid="{09436472-37A8-442E-AFB5-006E983DAB05}" name="Names"/>
    <tableColumn id="2" xr3:uid="{3710D968-5192-4291-9720-2C337C8F217E}" name="Monday"/>
    <tableColumn id="3" xr3:uid="{88E87EEA-996E-457B-B331-5182CA845CEC}" name="Tuesday"/>
    <tableColumn id="4" xr3:uid="{B691B7D3-80E9-43A3-A12C-801C52DF5A7F}" name="Wensday"/>
    <tableColumn id="5" xr3:uid="{497025D0-FE10-445F-AB58-D318686FC026}" name="Thrusday"/>
    <tableColumn id="6" xr3:uid="{71244D77-DEE6-456F-8BB6-F4618403E718}" name="Friday"/>
    <tableColumn id="7" xr3:uid="{F12CD9F2-6762-4B30-8BF2-63C7D50A2F92}" name="Saturday"/>
    <tableColumn id="8" xr3:uid="{35E11C36-D86D-4A12-9843-0BC149B83F32}" name="Sunday"/>
    <tableColumn id="9" xr3:uid="{B57C49CC-55D7-4D4E-9869-BF1FE64A716C}" name="WeekHours" dataDxfId="7">
      <calculatedColumnFormula>Table1456789[[#This Row],[Monday]]+Table1456789[[#This Row],[Tuesday]]+Table1456789[[#This Row],[Wensday]]+Table1456789[[#This Row],[Thrusday]]+Table1456789[[#This Row],[Friday]]+Table1456789[[#This Row],[Saturday]]+Table1456789[[#This Row],[Sunday]]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6FF059C-6A98-476A-9B33-53EC0ED69F6C}" name="Table145678910" displayName="Table145678910" ref="L9:U15" totalsRowShown="0">
  <autoFilter ref="L9:U15" xr:uid="{C6FF059C-6A98-476A-9B33-53EC0ED69F6C}"/>
  <tableColumns count="10">
    <tableColumn id="16" xr3:uid="{A5E8CAD6-1F86-497A-88C8-BA4EA0E038CE}" name="Week6"/>
    <tableColumn id="1" xr3:uid="{8DEFDF9D-52EF-46C5-B0C7-808F31146A0B}" name="Names"/>
    <tableColumn id="2" xr3:uid="{00AB16CB-AC7E-4365-AC36-96E90BA82FD3}" name="Monday"/>
    <tableColumn id="3" xr3:uid="{C87F68D6-F55C-47DD-AB0E-211760FF4403}" name="Tuesday"/>
    <tableColumn id="4" xr3:uid="{7C6982D1-4C33-4FA0-9BFA-F6A4B7E94783}" name="Wensday"/>
    <tableColumn id="5" xr3:uid="{3B2E7249-6820-47F2-B9F6-286C4E1D9B90}" name="Thrusday"/>
    <tableColumn id="6" xr3:uid="{E3AA0777-7308-4213-A404-05E26FACD53D}" name="Friday"/>
    <tableColumn id="7" xr3:uid="{D10E54DD-C75A-4766-A993-4C32B4BF4DB0}" name="Saturday"/>
    <tableColumn id="8" xr3:uid="{E84CB052-9D54-4C2D-8319-8403FFA3C5AC}" name="Sunday"/>
    <tableColumn id="9" xr3:uid="{41EAE9FC-E308-4E0C-A2C6-6D642A181817}" name="WeekHours" dataDxfId="6">
      <calculatedColumnFormula>Table145678910[[#This Row],[Monday]]+Table145678910[[#This Row],[Tuesday]]+Table145678910[[#This Row],[Wensday]]+Table145678910[[#This Row],[Thrusday]]+Table145678910[[#This Row],[Friday]]+Table145678910[[#This Row],[Saturday]]+Table145678910[[#This Row],[Sunday]]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93AABBA-18F3-44C5-920B-B8CACBC4A855}" name="Table14567891011" displayName="Table14567891011" ref="L17:U23" totalsRowShown="0">
  <autoFilter ref="L17:U23" xr:uid="{193AABBA-18F3-44C5-920B-B8CACBC4A855}"/>
  <tableColumns count="10">
    <tableColumn id="16" xr3:uid="{D2BB5A2D-707E-43E6-B32B-A1411B7525E6}" name="Week7"/>
    <tableColumn id="1" xr3:uid="{51F5A2B9-CF2A-4B31-8B07-4D86D88E8EE9}" name="Names"/>
    <tableColumn id="2" xr3:uid="{C0F445ED-CF4E-48C4-AFF5-7B043CE18805}" name="Monday"/>
    <tableColumn id="3" xr3:uid="{0BAAA9EF-7EDB-4FA9-AB35-31296927C65E}" name="Tuesday"/>
    <tableColumn id="4" xr3:uid="{7C11E184-0EAF-492A-ACFD-7F34A5CB753B}" name="Wensday"/>
    <tableColumn id="5" xr3:uid="{3EEA7CE7-8A5C-48DD-A48C-ED6E10753520}" name="Thrusday"/>
    <tableColumn id="6" xr3:uid="{03C5C6F2-7343-481B-895A-273C95903CEB}" name="Friday"/>
    <tableColumn id="7" xr3:uid="{3C8931D4-2280-4249-8F3E-941BE5DA45B3}" name="Saturday"/>
    <tableColumn id="8" xr3:uid="{AEB05EFD-C74B-46E7-B8FD-3326B8A0B422}" name="Sunday"/>
    <tableColumn id="9" xr3:uid="{FE5A9A26-FFAA-43DF-B69B-BC1C1645A2DC}" name="WeekHours" dataDxfId="5">
      <calculatedColumnFormula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DCF88F6-7368-43FB-88A9-D35A6A4FF1E6}" name="Table1456789101112" displayName="Table1456789101112" ref="L25:U31" totalsRowShown="0">
  <autoFilter ref="L25:U31" xr:uid="{5DCF88F6-7368-43FB-88A9-D35A6A4FF1E6}"/>
  <tableColumns count="10">
    <tableColumn id="16" xr3:uid="{9E7E2ABD-798F-45CF-8922-7C3542DF06F1}" name="Week8"/>
    <tableColumn id="1" xr3:uid="{CAA96F78-B7A3-49C7-A59B-12A31D5F694F}" name="Names"/>
    <tableColumn id="2" xr3:uid="{0179943F-82D1-45A4-859A-E9BB4C0A244A}" name="Monday"/>
    <tableColumn id="3" xr3:uid="{FC9E9FCE-EF61-4D38-881F-1AF2AE69F1AA}" name="Tuesday"/>
    <tableColumn id="4" xr3:uid="{20439E91-264D-4150-B9E8-865C6A83524A}" name="Wensday"/>
    <tableColumn id="5" xr3:uid="{22BCA938-7E5D-4CF9-949E-1973A5C1687E}" name="Thrusday"/>
    <tableColumn id="6" xr3:uid="{6D1E1494-EE8E-42CD-96FD-D5207A16E13B}" name="Friday"/>
    <tableColumn id="7" xr3:uid="{443D6821-ADA5-443C-9EC5-B45ABDCB510F}" name="Saturday"/>
    <tableColumn id="8" xr3:uid="{4C07AA1B-03DA-403F-83C0-8E27CC10806B}" name="Sunday"/>
    <tableColumn id="9" xr3:uid="{31D64119-7983-42FC-B76B-008928867C8B}" name="WeekHours" dataDxfId="4">
      <calculatedColumnFormula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4943C5B-6AD6-48D5-815A-2DA8F4666E37}" name="Table145678910111213" displayName="Table145678910111213" ref="L33:U39" totalsRowShown="0">
  <autoFilter ref="L33:U39" xr:uid="{04943C5B-6AD6-48D5-815A-2DA8F4666E37}"/>
  <tableColumns count="10">
    <tableColumn id="16" xr3:uid="{C13634BD-107D-45FE-B93C-E5EECF1A839F}" name="Week9"/>
    <tableColumn id="1" xr3:uid="{EAD4017C-D986-40B9-B1F4-A7281F426BA4}" name="Names"/>
    <tableColumn id="2" xr3:uid="{7FC56F78-A0B4-472B-A735-EB0C799CF030}" name="Monday"/>
    <tableColumn id="3" xr3:uid="{EE9030FE-B5CB-41FC-8AE4-7E57F97526DD}" name="Tuesday"/>
    <tableColumn id="4" xr3:uid="{82D7E963-B95E-49C6-AAAC-643911003B61}" name="Wensday"/>
    <tableColumn id="5" xr3:uid="{A569F670-BE02-4F08-B0EB-9176AC881988}" name="Thrusday"/>
    <tableColumn id="6" xr3:uid="{90C0D106-2C94-4921-B654-002744CF2A31}" name="Friday"/>
    <tableColumn id="7" xr3:uid="{C78586A1-C1D5-4E92-9CC2-A9FF925DD8AB}" name="Saturday"/>
    <tableColumn id="8" xr3:uid="{DFB9BC59-9EEE-419C-8429-5D3A7013EA63}" name="Sunday"/>
    <tableColumn id="9" xr3:uid="{986CA835-865C-4913-A790-213AC1CF8BEA}" name="WeekHours" dataDxfId="3">
      <calculatedColumnFormula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87CAFF-4F45-4349-A68E-3F6162331DCD}" name="Table145678910111214" displayName="Table145678910111214" ref="L41:U47" totalsRowShown="0">
  <autoFilter ref="L41:U47" xr:uid="{BB87CAFF-4F45-4349-A68E-3F6162331DCD}"/>
  <tableColumns count="10">
    <tableColumn id="16" xr3:uid="{E634EF03-8C4B-4D93-A569-6BA727762588}" name="Week10"/>
    <tableColumn id="1" xr3:uid="{7A65BF8E-4420-4075-A61B-549BF5556946}" name="Names"/>
    <tableColumn id="2" xr3:uid="{F10839C2-630A-453C-81C4-E85D0BE390A5}" name="Monday"/>
    <tableColumn id="3" xr3:uid="{EAF2E6E3-B36D-4C3E-84B6-9A88EFC59807}" name="Tuesday"/>
    <tableColumn id="4" xr3:uid="{66491947-6474-47F0-87C4-6438EA78812D}" name="Wensday"/>
    <tableColumn id="5" xr3:uid="{C95C9004-04AD-4530-8031-8BD8313809B5}" name="Thrusday"/>
    <tableColumn id="6" xr3:uid="{8E7F64BC-53D2-428F-8CAC-8BC6D25CB0C9}" name="Friday"/>
    <tableColumn id="7" xr3:uid="{5076CAAD-CB10-4F0E-A2CC-4BBEE0E7E9F1}" name="Saturday"/>
    <tableColumn id="8" xr3:uid="{C47B43BA-819A-464A-A298-1C1D94A4EE80}" name="Sunday"/>
    <tableColumn id="9" xr3:uid="{9B32A756-95EB-42B2-8CC3-7A01C7DAB651}" name="WeekHours" dataDxfId="2">
      <calculatedColumnFormula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C3CAE0-19EF-441C-A51A-7C5984C48673}" name="Table1" displayName="Table1" ref="A1:K7" totalsRowShown="0">
  <autoFilter ref="A1:K7" xr:uid="{92C3CAE0-19EF-441C-A51A-7C5984C48673}"/>
  <tableColumns count="11">
    <tableColumn id="15" xr3:uid="{A024029B-A7D5-4918-A480-BEC84695AFB1}" name="Week1"/>
    <tableColumn id="1" xr3:uid="{0DE67188-C763-40B5-A6D5-2B94CE0C2CD4}" name="Names"/>
    <tableColumn id="2" xr3:uid="{A4D6EF9A-522E-46AA-8BBE-307DF5E496C6}" name="Monday"/>
    <tableColumn id="3" xr3:uid="{EC22B64F-CD9D-4623-B6A5-926D62602583}" name="Tuesday"/>
    <tableColumn id="4" xr3:uid="{B70A0868-B5F1-4E36-B242-DB44BCC00E67}" name="Wensday"/>
    <tableColumn id="5" xr3:uid="{8BB5B23F-FEFE-4BB4-B9C4-149C884A3ACC}" name="Thrusday"/>
    <tableColumn id="6" xr3:uid="{F64E9B21-48BC-4480-A698-C90C63571799}" name="Friday"/>
    <tableColumn id="7" xr3:uid="{821A903F-59E3-4397-B05D-64099018C0D7}" name="Saturday"/>
    <tableColumn id="8" xr3:uid="{21D861FB-E542-4DC5-8561-87209E0454A7}" name="Sunday"/>
    <tableColumn id="9" xr3:uid="{34D96AC9-43FA-49FC-8201-6BC1B4953C47}" name="WeekHours" dataDxfId="1">
      <calculatedColumnFormula>Table1[[#This Row],[Monday]]+Table1[[#This Row],[Tuesday]]+Table1[[#This Row],[Wensday]]+Table1[[#This Row],[Thrusday]]+Table1[[#This Row],[Friday]]+Table1[[#This Row],[Saturday]]+Table1[[#This Row],[Sunday]]</calculatedColumnFormula>
    </tableColumn>
    <tableColumn id="10" xr3:uid="{CF2D18D8-17CB-42A1-B9DE-B4B8CF8A3DEC}" name="Total Hours" dataDxfId="0">
      <calculatedColumnFormula>J23+J31+J39+J47+J54+U23+U31+U39+U47+U54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I34"/>
  <sheetViews>
    <sheetView zoomScale="130" zoomScaleNormal="130" zoomScalePageLayoutView="130" workbookViewId="0">
      <pane ySplit="3" topLeftCell="A4" activePane="bottomLeft" state="frozen"/>
      <selection pane="bottomLeft" activeCell="B11" sqref="B11"/>
    </sheetView>
  </sheetViews>
  <sheetFormatPr defaultColWidth="8.7109375" defaultRowHeight="15" x14ac:dyDescent="0.25"/>
  <cols>
    <col min="1" max="1" width="6.85546875" style="1" bestFit="1" customWidth="1"/>
    <col min="2" max="2" width="49.5703125" bestFit="1" customWidth="1"/>
    <col min="3" max="3" width="6.7109375" style="1" bestFit="1" customWidth="1"/>
    <col min="4" max="4" width="10.7109375" style="1" bestFit="1" customWidth="1"/>
    <col min="5" max="6" width="7.7109375" style="1" bestFit="1" customWidth="1"/>
    <col min="7" max="7" width="11.140625" style="2" bestFit="1" customWidth="1"/>
    <col min="8" max="8" width="9" style="2" customWidth="1"/>
    <col min="9" max="9" width="10.28515625" style="2" customWidth="1"/>
  </cols>
  <sheetData>
    <row r="2" spans="1:9" x14ac:dyDescent="0.25">
      <c r="A2" s="25" t="s">
        <v>4</v>
      </c>
      <c r="B2" s="26"/>
      <c r="C2" s="26"/>
      <c r="D2" s="26"/>
      <c r="E2" s="26"/>
      <c r="F2" s="26"/>
      <c r="G2" s="26"/>
      <c r="H2" s="26"/>
      <c r="I2" s="5"/>
    </row>
    <row r="3" spans="1:9" ht="15.75" thickBot="1" x14ac:dyDescent="0.3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25">
      <c r="A4" s="9">
        <v>1</v>
      </c>
      <c r="B4" s="10" t="s">
        <v>10</v>
      </c>
      <c r="C4" s="9">
        <v>0</v>
      </c>
      <c r="D4" s="9"/>
      <c r="E4" s="9"/>
      <c r="F4" s="9"/>
      <c r="G4" s="13"/>
      <c r="H4" s="4" t="s">
        <v>5</v>
      </c>
      <c r="I4" s="3"/>
    </row>
    <row r="5" spans="1:9" x14ac:dyDescent="0.25">
      <c r="A5" s="9">
        <v>1.1000000000000001</v>
      </c>
      <c r="B5" s="10" t="s">
        <v>11</v>
      </c>
      <c r="C5" s="9">
        <v>0</v>
      </c>
      <c r="D5" s="9"/>
      <c r="E5" s="9"/>
      <c r="F5" s="9"/>
      <c r="G5" s="13"/>
      <c r="H5" s="4" t="s">
        <v>5</v>
      </c>
      <c r="I5" s="3"/>
    </row>
    <row r="6" spans="1:9" x14ac:dyDescent="0.25">
      <c r="A6" s="9">
        <v>1.2</v>
      </c>
      <c r="B6" s="10" t="s">
        <v>12</v>
      </c>
      <c r="C6" s="9">
        <v>0</v>
      </c>
      <c r="D6" s="9"/>
      <c r="E6" s="9"/>
      <c r="F6" s="9"/>
      <c r="G6" s="13"/>
      <c r="H6" s="4" t="s">
        <v>5</v>
      </c>
      <c r="I6" s="3"/>
    </row>
    <row r="7" spans="1:9" x14ac:dyDescent="0.25">
      <c r="A7" s="9">
        <v>1.3</v>
      </c>
      <c r="B7" s="10" t="s">
        <v>13</v>
      </c>
      <c r="C7" s="9">
        <v>0</v>
      </c>
      <c r="D7" s="9"/>
      <c r="E7" s="9"/>
      <c r="F7" s="9"/>
      <c r="G7" s="13"/>
      <c r="H7" s="4" t="s">
        <v>5</v>
      </c>
      <c r="I7" s="3"/>
    </row>
    <row r="8" spans="1:9" x14ac:dyDescent="0.25">
      <c r="A8" s="9">
        <v>1.4</v>
      </c>
      <c r="B8" s="10" t="s">
        <v>14</v>
      </c>
      <c r="C8" s="9">
        <v>0</v>
      </c>
      <c r="D8" s="9"/>
      <c r="E8" s="9"/>
      <c r="F8" s="9"/>
      <c r="G8" s="13"/>
      <c r="H8" s="4" t="s">
        <v>5</v>
      </c>
      <c r="I8" s="3"/>
    </row>
    <row r="9" spans="1:9" x14ac:dyDescent="0.25">
      <c r="A9" s="9">
        <v>1.5</v>
      </c>
      <c r="B9" s="10" t="s">
        <v>15</v>
      </c>
      <c r="C9" s="9">
        <v>0</v>
      </c>
      <c r="D9" s="9"/>
      <c r="E9" s="9"/>
      <c r="F9" s="9"/>
      <c r="G9" s="13"/>
      <c r="H9" s="4" t="s">
        <v>5</v>
      </c>
      <c r="I9" s="3"/>
    </row>
    <row r="10" spans="1:9" x14ac:dyDescent="0.25">
      <c r="A10" s="9">
        <v>2</v>
      </c>
      <c r="B10" s="10" t="s">
        <v>16</v>
      </c>
      <c r="C10" s="9">
        <v>0</v>
      </c>
      <c r="D10" s="9"/>
      <c r="E10" s="9"/>
      <c r="F10" s="9"/>
      <c r="G10" s="13"/>
      <c r="H10" s="4" t="s">
        <v>5</v>
      </c>
      <c r="I10" s="3"/>
    </row>
    <row r="11" spans="1:9" x14ac:dyDescent="0.25">
      <c r="A11" s="9">
        <v>2.1</v>
      </c>
      <c r="B11" s="10" t="s">
        <v>17</v>
      </c>
      <c r="C11" s="9">
        <v>0</v>
      </c>
      <c r="D11" s="9"/>
      <c r="E11" s="9"/>
      <c r="F11" s="9"/>
      <c r="G11" s="13"/>
      <c r="H11" s="4" t="s">
        <v>5</v>
      </c>
      <c r="I11" s="3"/>
    </row>
    <row r="12" spans="1:9" x14ac:dyDescent="0.25">
      <c r="A12" s="9">
        <v>2.2000000000000002</v>
      </c>
      <c r="B12" s="10" t="s">
        <v>18</v>
      </c>
      <c r="C12" s="9">
        <v>0</v>
      </c>
      <c r="D12" s="9"/>
      <c r="E12" s="9"/>
      <c r="F12" s="9"/>
      <c r="G12" s="13"/>
      <c r="H12" s="4" t="s">
        <v>5</v>
      </c>
      <c r="I12" s="3"/>
    </row>
    <row r="13" spans="1:9" x14ac:dyDescent="0.25">
      <c r="A13" s="9">
        <v>2.2999999999999998</v>
      </c>
      <c r="B13" s="10" t="s">
        <v>19</v>
      </c>
      <c r="C13" s="9">
        <v>0</v>
      </c>
      <c r="D13" s="9"/>
      <c r="E13" s="9"/>
      <c r="F13" s="9"/>
      <c r="G13" s="13"/>
      <c r="H13" s="4" t="s">
        <v>5</v>
      </c>
      <c r="I13" s="3"/>
    </row>
    <row r="14" spans="1:9" x14ac:dyDescent="0.25">
      <c r="A14" s="9">
        <v>2.4</v>
      </c>
      <c r="B14" s="10" t="s">
        <v>20</v>
      </c>
      <c r="C14" s="9">
        <v>0</v>
      </c>
      <c r="D14" s="9"/>
      <c r="E14" s="9"/>
      <c r="F14" s="9"/>
      <c r="G14" s="13"/>
      <c r="H14" s="4" t="s">
        <v>5</v>
      </c>
      <c r="I14" s="3"/>
    </row>
    <row r="15" spans="1:9" x14ac:dyDescent="0.25">
      <c r="A15" s="9">
        <v>2.5</v>
      </c>
      <c r="B15" s="10" t="s">
        <v>32</v>
      </c>
      <c r="C15" s="9">
        <v>0</v>
      </c>
      <c r="D15" s="9"/>
      <c r="E15" s="9"/>
      <c r="F15" s="9"/>
      <c r="G15" s="13"/>
      <c r="H15" s="4" t="s">
        <v>5</v>
      </c>
      <c r="I15" s="3"/>
    </row>
    <row r="16" spans="1:9" x14ac:dyDescent="0.25">
      <c r="A16" s="9">
        <v>2.6</v>
      </c>
      <c r="B16" s="10" t="s">
        <v>30</v>
      </c>
      <c r="C16" s="9">
        <v>0</v>
      </c>
      <c r="D16" s="9"/>
      <c r="E16" s="9"/>
      <c r="F16" s="9"/>
      <c r="G16" s="13"/>
      <c r="H16" s="4" t="s">
        <v>5</v>
      </c>
      <c r="I16" s="3"/>
    </row>
    <row r="17" spans="1:9" x14ac:dyDescent="0.25">
      <c r="A17" s="9">
        <v>2.7</v>
      </c>
      <c r="B17" s="10" t="s">
        <v>31</v>
      </c>
      <c r="C17" s="9">
        <v>0</v>
      </c>
      <c r="D17" s="9"/>
      <c r="E17" s="9"/>
      <c r="F17" s="9"/>
      <c r="G17" s="13"/>
      <c r="H17" s="4" t="s">
        <v>5</v>
      </c>
      <c r="I17" s="3"/>
    </row>
    <row r="18" spans="1:9" x14ac:dyDescent="0.25">
      <c r="A18" s="9">
        <v>3</v>
      </c>
      <c r="B18" s="10" t="s">
        <v>21</v>
      </c>
      <c r="C18" s="9">
        <v>0</v>
      </c>
      <c r="D18" s="9"/>
      <c r="E18" s="9"/>
      <c r="F18" s="9"/>
      <c r="G18" s="13"/>
      <c r="H18" s="4" t="s">
        <v>5</v>
      </c>
      <c r="I18" s="3"/>
    </row>
    <row r="19" spans="1:9" x14ac:dyDescent="0.25">
      <c r="A19" s="9">
        <v>3.1</v>
      </c>
      <c r="B19" s="10" t="s">
        <v>22</v>
      </c>
      <c r="C19" s="9">
        <v>0</v>
      </c>
      <c r="D19" s="9"/>
      <c r="E19" s="9"/>
      <c r="F19" s="9"/>
      <c r="G19" s="13"/>
      <c r="H19" s="4" t="s">
        <v>5</v>
      </c>
      <c r="I19" s="3"/>
    </row>
    <row r="20" spans="1:9" x14ac:dyDescent="0.25">
      <c r="A20" s="9">
        <v>3.2</v>
      </c>
      <c r="B20" s="10" t="s">
        <v>35</v>
      </c>
      <c r="C20" s="9">
        <v>0</v>
      </c>
      <c r="D20" s="9"/>
      <c r="E20" s="9"/>
      <c r="F20" s="9"/>
      <c r="G20" s="13"/>
      <c r="H20" s="4" t="s">
        <v>5</v>
      </c>
      <c r="I20" s="3"/>
    </row>
    <row r="21" spans="1:9" x14ac:dyDescent="0.25">
      <c r="A21" s="9" t="s">
        <v>24</v>
      </c>
      <c r="B21" s="10" t="s">
        <v>25</v>
      </c>
      <c r="C21" s="9">
        <v>0</v>
      </c>
      <c r="D21" s="9"/>
      <c r="E21" s="9"/>
      <c r="F21" s="9"/>
      <c r="G21" s="13"/>
      <c r="H21" s="4" t="s">
        <v>5</v>
      </c>
      <c r="I21" s="3"/>
    </row>
    <row r="22" spans="1:9" x14ac:dyDescent="0.25">
      <c r="A22" s="9">
        <v>3.3</v>
      </c>
      <c r="B22" s="10" t="s">
        <v>23</v>
      </c>
      <c r="C22" s="9">
        <v>0</v>
      </c>
      <c r="D22" s="9"/>
      <c r="E22" s="9"/>
      <c r="F22" s="9"/>
      <c r="G22" s="13"/>
      <c r="H22" s="4" t="s">
        <v>5</v>
      </c>
      <c r="I22" s="3"/>
    </row>
    <row r="23" spans="1:9" x14ac:dyDescent="0.25">
      <c r="A23" s="9">
        <v>4</v>
      </c>
      <c r="B23" s="10" t="s">
        <v>26</v>
      </c>
      <c r="C23" s="9">
        <v>0</v>
      </c>
      <c r="D23" s="9"/>
      <c r="E23" s="9"/>
      <c r="F23" s="9"/>
      <c r="G23" s="13"/>
      <c r="H23" s="4" t="s">
        <v>5</v>
      </c>
      <c r="I23" s="3"/>
    </row>
    <row r="24" spans="1:9" x14ac:dyDescent="0.25">
      <c r="A24" s="9">
        <v>4.0999999999999996</v>
      </c>
      <c r="B24" s="10" t="s">
        <v>28</v>
      </c>
      <c r="C24" s="9">
        <v>0</v>
      </c>
      <c r="D24" s="9"/>
      <c r="E24" s="9"/>
      <c r="F24" s="9"/>
      <c r="G24" s="13"/>
      <c r="H24" s="4" t="s">
        <v>5</v>
      </c>
      <c r="I24" s="3"/>
    </row>
    <row r="25" spans="1:9" x14ac:dyDescent="0.25">
      <c r="A25" s="9">
        <v>5</v>
      </c>
      <c r="B25" s="10" t="s">
        <v>27</v>
      </c>
      <c r="C25" s="9">
        <v>0</v>
      </c>
      <c r="D25" s="9"/>
      <c r="E25" s="9"/>
      <c r="F25" s="9"/>
      <c r="G25" s="13"/>
      <c r="H25" s="4" t="s">
        <v>5</v>
      </c>
      <c r="I25" s="3"/>
    </row>
    <row r="26" spans="1:9" x14ac:dyDescent="0.25">
      <c r="A26" s="9">
        <v>6</v>
      </c>
      <c r="B26" s="10" t="s">
        <v>29</v>
      </c>
      <c r="C26" s="9">
        <v>0</v>
      </c>
      <c r="D26" s="9"/>
      <c r="E26" s="9"/>
      <c r="F26" s="9"/>
      <c r="G26" s="13"/>
      <c r="H26" s="4" t="s">
        <v>5</v>
      </c>
      <c r="I26" s="3"/>
    </row>
    <row r="27" spans="1:9" x14ac:dyDescent="0.25">
      <c r="A27" s="9">
        <v>7</v>
      </c>
      <c r="B27" s="10" t="s">
        <v>33</v>
      </c>
      <c r="C27" s="9">
        <v>0</v>
      </c>
      <c r="D27" s="9"/>
      <c r="E27" s="9"/>
      <c r="F27" s="9"/>
      <c r="G27" s="13"/>
      <c r="H27" s="4" t="s">
        <v>5</v>
      </c>
      <c r="I27" s="3"/>
    </row>
    <row r="28" spans="1:9" x14ac:dyDescent="0.25">
      <c r="A28" s="9">
        <v>7.1</v>
      </c>
      <c r="B28" s="10" t="s">
        <v>39</v>
      </c>
      <c r="C28" s="9">
        <v>0</v>
      </c>
      <c r="D28" s="9"/>
      <c r="E28" s="9"/>
      <c r="F28" s="9"/>
      <c r="G28" s="13"/>
      <c r="H28" s="4" t="s">
        <v>5</v>
      </c>
      <c r="I28" s="3"/>
    </row>
    <row r="29" spans="1:9" x14ac:dyDescent="0.25">
      <c r="A29" s="9">
        <v>7.2</v>
      </c>
      <c r="B29" s="10" t="s">
        <v>40</v>
      </c>
      <c r="C29" s="9">
        <v>0</v>
      </c>
      <c r="D29" s="9"/>
      <c r="E29" s="9"/>
      <c r="F29" s="9"/>
      <c r="G29" s="13"/>
      <c r="H29" s="4" t="s">
        <v>5</v>
      </c>
      <c r="I29" s="3"/>
    </row>
    <row r="30" spans="1:9" x14ac:dyDescent="0.25">
      <c r="A30" s="9">
        <v>8</v>
      </c>
      <c r="B30" s="10" t="s">
        <v>34</v>
      </c>
      <c r="C30" s="9">
        <v>0</v>
      </c>
      <c r="D30" s="9"/>
      <c r="E30" s="9"/>
      <c r="F30" s="9"/>
      <c r="G30" s="13"/>
      <c r="H30" s="4" t="s">
        <v>5</v>
      </c>
      <c r="I30" s="3"/>
    </row>
    <row r="31" spans="1:9" x14ac:dyDescent="0.25">
      <c r="A31" s="9">
        <v>9</v>
      </c>
      <c r="B31" s="10" t="s">
        <v>36</v>
      </c>
      <c r="C31" s="9">
        <v>0</v>
      </c>
      <c r="D31" s="9"/>
      <c r="E31" s="9"/>
      <c r="F31" s="9"/>
      <c r="G31" s="13"/>
      <c r="H31" s="4" t="s">
        <v>5</v>
      </c>
      <c r="I31" s="3"/>
    </row>
    <row r="32" spans="1:9" x14ac:dyDescent="0.25">
      <c r="A32" s="9">
        <v>9.1</v>
      </c>
      <c r="B32" s="10" t="s">
        <v>37</v>
      </c>
      <c r="C32" s="9">
        <v>0</v>
      </c>
      <c r="D32" s="9"/>
      <c r="E32" s="9"/>
      <c r="F32" s="9"/>
      <c r="G32" s="13"/>
      <c r="H32" s="4" t="s">
        <v>5</v>
      </c>
      <c r="I32" s="3"/>
    </row>
    <row r="33" spans="1:9" x14ac:dyDescent="0.25">
      <c r="A33" s="9">
        <v>9.1999999999999993</v>
      </c>
      <c r="B33" s="10" t="s">
        <v>38</v>
      </c>
      <c r="C33" s="9">
        <v>0</v>
      </c>
      <c r="D33" s="9"/>
      <c r="E33" s="9"/>
      <c r="F33" s="9"/>
      <c r="G33" s="13"/>
      <c r="H33" s="4" t="s">
        <v>5</v>
      </c>
      <c r="I33" s="3"/>
    </row>
    <row r="34" spans="1:9" x14ac:dyDescent="0.25">
      <c r="A34" s="5"/>
      <c r="C34" s="11">
        <v>0</v>
      </c>
    </row>
  </sheetData>
  <mergeCells count="1">
    <mergeCell ref="A2:H2"/>
  </mergeCells>
  <conditionalFormatting sqref="E34:E1048576 E1 E3">
    <cfRule type="colorScale" priority="2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1048576 F1 F3">
    <cfRule type="colorScale" priority="2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33">
    <cfRule type="colorScale" priority="3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33">
    <cfRule type="colorScale" priority="3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G34:G1048576" xr:uid="{00000000-0002-0000-0000-000000000000}">
      <formula1>#REF!</formula1>
    </dataValidation>
    <dataValidation showInputMessage="1" showErrorMessage="1" sqref="I2:I33" xr:uid="{00000000-0002-0000-0000-000001000000}"/>
    <dataValidation type="list" allowBlank="1" showInputMessage="1" showErrorMessage="1" sqref="H4:H1048576" xr:uid="{00000000-0002-0000-0000-000002000000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1657350</xdr:colOff>
                    <xdr:row>0</xdr:row>
                    <xdr:rowOff>19050</xdr:rowOff>
                  </from>
                  <to>
                    <xdr:col>1</xdr:col>
                    <xdr:colOff>2352675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ThisWorkbook.AddSubTask">
                <anchor moveWithCells="1" sizeWithCells="1">
                  <from>
                    <xdr:col>1</xdr:col>
                    <xdr:colOff>323850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5F22A-B769-49ED-A7D8-CF77A0AFA76B}">
  <sheetPr codeName="Sheet3"/>
  <dimension ref="A1:U47"/>
  <sheetViews>
    <sheetView workbookViewId="0">
      <selection activeCell="K7" sqref="K7"/>
    </sheetView>
  </sheetViews>
  <sheetFormatPr defaultRowHeight="15" x14ac:dyDescent="0.25"/>
  <cols>
    <col min="1" max="1" width="11.7109375" bestFit="1" customWidth="1"/>
    <col min="3" max="4" width="10.28515625" bestFit="1" customWidth="1"/>
    <col min="5" max="6" width="11" bestFit="1" customWidth="1"/>
    <col min="7" max="7" width="8.28515625" bestFit="1" customWidth="1"/>
    <col min="8" max="8" width="10.7109375" bestFit="1" customWidth="1"/>
    <col min="9" max="9" width="9.5703125" bestFit="1" customWidth="1"/>
    <col min="10" max="10" width="12.85546875" bestFit="1" customWidth="1"/>
    <col min="14" max="15" width="10.28515625" bestFit="1" customWidth="1"/>
    <col min="16" max="16" width="11" bestFit="1" customWidth="1"/>
    <col min="18" max="18" width="8.28515625" bestFit="1" customWidth="1"/>
    <col min="19" max="19" width="10.7109375" bestFit="1" customWidth="1"/>
    <col min="20" max="20" width="9.5703125" bestFit="1" customWidth="1"/>
    <col min="21" max="21" width="12.85546875" bestFit="1" customWidth="1"/>
  </cols>
  <sheetData>
    <row r="1" spans="1:21" x14ac:dyDescent="0.25">
      <c r="A1" s="20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L1" s="21" t="s">
        <v>41</v>
      </c>
      <c r="M1" s="16" t="s">
        <v>50</v>
      </c>
    </row>
    <row r="2" spans="1:21" x14ac:dyDescent="0.25">
      <c r="A2" s="14"/>
      <c r="B2" s="14" t="s">
        <v>51</v>
      </c>
      <c r="C2">
        <v>1</v>
      </c>
      <c r="E2">
        <v>1</v>
      </c>
      <c r="I2">
        <v>3</v>
      </c>
      <c r="J2">
        <f>Table14[[#This Row],[Monday]]+Table14[[#This Row],[Tuesday]]+Table14[[#This Row],[Wensday]]+Table14[[#This Row],[Thrusday]]+Table14[[#This Row],[Friday]]+Table14[[#This Row],[Saturday]]+Table14[[#This Row],[Sunday]]</f>
        <v>5</v>
      </c>
      <c r="L2" s="22" t="s">
        <v>51</v>
      </c>
      <c r="M2" s="18">
        <f>Table14[[#This Row],[WeekHours]]+J10+J18+J26+J34+J42+U18+U26+U34+U42</f>
        <v>5</v>
      </c>
    </row>
    <row r="3" spans="1:21" x14ac:dyDescent="0.25">
      <c r="B3" t="s">
        <v>52</v>
      </c>
      <c r="C3">
        <v>2</v>
      </c>
      <c r="E3">
        <v>2</v>
      </c>
      <c r="J3">
        <f>Table14[[#This Row],[Monday]]+Table14[[#This Row],[Tuesday]]+Table14[[#This Row],[Wensday]]+Table14[[#This Row],[Thrusday]]+Table14[[#This Row],[Friday]]+Table14[[#This Row],[Saturday]]+Table14[[#This Row],[Sunday]]</f>
        <v>4</v>
      </c>
      <c r="L3" s="17" t="s">
        <v>52</v>
      </c>
      <c r="M3" s="18">
        <f>Table14[[#This Row],[WeekHours]]+J11+J19+J27+J35+J43+U11+U19+U27+U35+U43</f>
        <v>4</v>
      </c>
    </row>
    <row r="4" spans="1:21" x14ac:dyDescent="0.25">
      <c r="B4" t="s">
        <v>53</v>
      </c>
      <c r="C4">
        <v>2</v>
      </c>
      <c r="E4">
        <v>2</v>
      </c>
      <c r="G4">
        <v>2</v>
      </c>
      <c r="I4">
        <v>2</v>
      </c>
      <c r="J4">
        <f>Table14[[#This Row],[Monday]]+Table14[[#This Row],[Tuesday]]+Table14[[#This Row],[Wensday]]+Table14[[#This Row],[Thrusday]]+Table14[[#This Row],[Friday]]+Table14[[#This Row],[Saturday]]+Table14[[#This Row],[Sunday]]</f>
        <v>8</v>
      </c>
      <c r="L4" s="17" t="s">
        <v>53</v>
      </c>
      <c r="M4" s="18">
        <f>Table14[[#This Row],[WeekHours]]+J12+J20+J28+J36+J44+U12+U20+U28+U36+U44</f>
        <v>8</v>
      </c>
    </row>
    <row r="5" spans="1:21" x14ac:dyDescent="0.25">
      <c r="B5" t="s">
        <v>65</v>
      </c>
      <c r="C5">
        <v>2</v>
      </c>
      <c r="J5">
        <f>Table14[[#This Row],[Monday]]+Table14[[#This Row],[Tuesday]]+Table14[[#This Row],[Wensday]]+Table14[[#This Row],[Thrusday]]+Table14[[#This Row],[Friday]]+Table14[[#This Row],[Saturday]]+Table14[[#This Row],[Sunday]]</f>
        <v>2</v>
      </c>
      <c r="L5" s="17" t="s">
        <v>65</v>
      </c>
      <c r="M5" s="18">
        <f>Table14[[#This Row],[WeekHours]]+J13+J21+J29+J37+J45+U13+U21+U29+U37+U45</f>
        <v>2</v>
      </c>
    </row>
    <row r="6" spans="1:21" x14ac:dyDescent="0.25">
      <c r="B6" t="s">
        <v>66</v>
      </c>
      <c r="E6">
        <v>2</v>
      </c>
      <c r="J6">
        <f>Table14[[#This Row],[Monday]]+Table14[[#This Row],[Tuesday]]+Table14[[#This Row],[Wensday]]+Table14[[#This Row],[Thrusday]]+Table14[[#This Row],[Friday]]+Table14[[#This Row],[Saturday]]+Table14[[#This Row],[Sunday]]</f>
        <v>2</v>
      </c>
      <c r="L6" s="17" t="s">
        <v>66</v>
      </c>
      <c r="M6" s="18">
        <f>Table14[[#This Row],[WeekHours]]+J14+J22+J30+J38+J46+U14+U22+U30+U38+U46</f>
        <v>2</v>
      </c>
    </row>
    <row r="7" spans="1:21" x14ac:dyDescent="0.25">
      <c r="B7" t="s">
        <v>67</v>
      </c>
      <c r="C7">
        <v>1</v>
      </c>
      <c r="J7">
        <f>Table14[[#This Row],[Monday]]+Table14[[#This Row],[Tuesday]]+Table14[[#This Row],[Wensday]]+Table14[[#This Row],[Thrusday]]+Table14[[#This Row],[Friday]]+Table14[[#This Row],[Saturday]]+Table14[[#This Row],[Sunday]]</f>
        <v>1</v>
      </c>
      <c r="L7" s="19" t="s">
        <v>67</v>
      </c>
      <c r="M7" s="24">
        <f>Table14[[#This Row],[WeekHours]]+J15+J23+J31+J39+J47+U15+U23+U31+U39+U47</f>
        <v>1</v>
      </c>
    </row>
    <row r="9" spans="1:21" x14ac:dyDescent="0.25">
      <c r="A9" s="20" t="s">
        <v>55</v>
      </c>
      <c r="B9" s="20" t="s">
        <v>41</v>
      </c>
      <c r="C9" t="s">
        <v>42</v>
      </c>
      <c r="D9" t="s">
        <v>43</v>
      </c>
      <c r="E9" t="s">
        <v>44</v>
      </c>
      <c r="F9" t="s">
        <v>45</v>
      </c>
      <c r="G9" t="s">
        <v>46</v>
      </c>
      <c r="H9" t="s">
        <v>47</v>
      </c>
      <c r="I9" t="s">
        <v>48</v>
      </c>
      <c r="J9" t="s">
        <v>49</v>
      </c>
      <c r="L9" s="20" t="s">
        <v>59</v>
      </c>
      <c r="M9" s="20" t="s">
        <v>41</v>
      </c>
      <c r="N9" t="s">
        <v>42</v>
      </c>
      <c r="O9" t="s">
        <v>43</v>
      </c>
      <c r="P9" t="s">
        <v>44</v>
      </c>
      <c r="Q9" t="s">
        <v>45</v>
      </c>
      <c r="R9" t="s">
        <v>46</v>
      </c>
      <c r="S9" t="s">
        <v>47</v>
      </c>
      <c r="T9" t="s">
        <v>48</v>
      </c>
      <c r="U9" t="s">
        <v>49</v>
      </c>
    </row>
    <row r="10" spans="1:21" x14ac:dyDescent="0.25">
      <c r="A10" s="14"/>
      <c r="B10" s="14" t="s">
        <v>51</v>
      </c>
      <c r="J10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L10" s="14"/>
      <c r="M10" s="14" t="s">
        <v>51</v>
      </c>
      <c r="U10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1" spans="1:21" x14ac:dyDescent="0.25">
      <c r="B11" t="s">
        <v>52</v>
      </c>
      <c r="J11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1" t="s">
        <v>52</v>
      </c>
      <c r="U11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2" spans="1:21" x14ac:dyDescent="0.25">
      <c r="B12" t="s">
        <v>53</v>
      </c>
      <c r="J12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2" t="s">
        <v>53</v>
      </c>
      <c r="U12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3" spans="1:21" x14ac:dyDescent="0.25">
      <c r="B13" t="s">
        <v>65</v>
      </c>
      <c r="J13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3" t="s">
        <v>65</v>
      </c>
      <c r="U13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4" spans="1:21" x14ac:dyDescent="0.25">
      <c r="B14" t="s">
        <v>66</v>
      </c>
      <c r="J14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4" t="s">
        <v>66</v>
      </c>
      <c r="U14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5" spans="1:21" x14ac:dyDescent="0.25">
      <c r="B15" t="s">
        <v>67</v>
      </c>
      <c r="J15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5" t="s">
        <v>67</v>
      </c>
      <c r="U15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7" spans="1:21" x14ac:dyDescent="0.25">
      <c r="A17" s="20" t="s">
        <v>56</v>
      </c>
      <c r="B17" s="20" t="s">
        <v>41</v>
      </c>
      <c r="C17" t="s">
        <v>42</v>
      </c>
      <c r="D17" t="s">
        <v>43</v>
      </c>
      <c r="E17" t="s">
        <v>44</v>
      </c>
      <c r="F17" t="s">
        <v>45</v>
      </c>
      <c r="G17" t="s">
        <v>46</v>
      </c>
      <c r="H17" t="s">
        <v>47</v>
      </c>
      <c r="I17" t="s">
        <v>48</v>
      </c>
      <c r="J17" t="s">
        <v>49</v>
      </c>
      <c r="L17" s="20" t="s">
        <v>60</v>
      </c>
      <c r="M17" s="20" t="s">
        <v>41</v>
      </c>
      <c r="N17" t="s">
        <v>42</v>
      </c>
      <c r="O17" t="s">
        <v>43</v>
      </c>
      <c r="P17" t="s">
        <v>44</v>
      </c>
      <c r="Q17" t="s">
        <v>45</v>
      </c>
      <c r="R17" t="s">
        <v>46</v>
      </c>
      <c r="S17" t="s">
        <v>47</v>
      </c>
      <c r="T17" t="s">
        <v>48</v>
      </c>
      <c r="U17" t="s">
        <v>49</v>
      </c>
    </row>
    <row r="18" spans="1:21" x14ac:dyDescent="0.25">
      <c r="A18" s="14"/>
      <c r="B18" s="14" t="s">
        <v>51</v>
      </c>
      <c r="J18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L18" s="14"/>
      <c r="M18" s="14" t="s">
        <v>51</v>
      </c>
      <c r="U18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19" spans="1:21" x14ac:dyDescent="0.25">
      <c r="B19" t="s">
        <v>52</v>
      </c>
      <c r="J19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19" t="s">
        <v>52</v>
      </c>
      <c r="U19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0" spans="1:21" x14ac:dyDescent="0.25">
      <c r="B20" t="s">
        <v>53</v>
      </c>
      <c r="J20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0" t="s">
        <v>53</v>
      </c>
      <c r="U20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1" spans="1:21" x14ac:dyDescent="0.25">
      <c r="B21" t="s">
        <v>65</v>
      </c>
      <c r="J21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1" t="s">
        <v>65</v>
      </c>
      <c r="U21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2" spans="1:21" x14ac:dyDescent="0.25">
      <c r="B22" t="s">
        <v>66</v>
      </c>
      <c r="J22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2" t="s">
        <v>66</v>
      </c>
      <c r="U22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3" spans="1:21" x14ac:dyDescent="0.25">
      <c r="B23" t="s">
        <v>67</v>
      </c>
      <c r="J23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3" t="s">
        <v>67</v>
      </c>
      <c r="U23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5" spans="1:21" x14ac:dyDescent="0.25">
      <c r="A25" s="20" t="s">
        <v>56</v>
      </c>
      <c r="B25" s="20" t="s">
        <v>41</v>
      </c>
      <c r="C25" t="s">
        <v>42</v>
      </c>
      <c r="D25" t="s">
        <v>43</v>
      </c>
      <c r="E25" t="s">
        <v>44</v>
      </c>
      <c r="F25" t="s">
        <v>45</v>
      </c>
      <c r="G25" t="s">
        <v>46</v>
      </c>
      <c r="H25" t="s">
        <v>47</v>
      </c>
      <c r="I25" t="s">
        <v>48</v>
      </c>
      <c r="J25" t="s">
        <v>49</v>
      </c>
      <c r="L25" s="20" t="s">
        <v>61</v>
      </c>
      <c r="M25" s="20" t="s">
        <v>41</v>
      </c>
      <c r="N25" t="s">
        <v>42</v>
      </c>
      <c r="O25" t="s">
        <v>43</v>
      </c>
      <c r="P25" t="s">
        <v>44</v>
      </c>
      <c r="Q25" t="s">
        <v>45</v>
      </c>
      <c r="R25" t="s">
        <v>46</v>
      </c>
      <c r="S25" t="s">
        <v>47</v>
      </c>
      <c r="T25" t="s">
        <v>48</v>
      </c>
      <c r="U25" t="s">
        <v>49</v>
      </c>
    </row>
    <row r="26" spans="1:21" x14ac:dyDescent="0.25">
      <c r="A26" s="14"/>
      <c r="B26" s="14" t="s">
        <v>51</v>
      </c>
      <c r="J26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L26" s="14"/>
      <c r="M26" s="14" t="s">
        <v>51</v>
      </c>
      <c r="U26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7" spans="1:21" x14ac:dyDescent="0.25">
      <c r="B27" t="s">
        <v>52</v>
      </c>
      <c r="J27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7" t="s">
        <v>52</v>
      </c>
      <c r="U27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8" spans="1:21" x14ac:dyDescent="0.25">
      <c r="B28" t="s">
        <v>53</v>
      </c>
      <c r="J28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8" t="s">
        <v>53</v>
      </c>
      <c r="U28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9" spans="1:21" x14ac:dyDescent="0.25">
      <c r="B29" t="s">
        <v>65</v>
      </c>
      <c r="J29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9" t="s">
        <v>65</v>
      </c>
      <c r="U29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0" spans="1:21" x14ac:dyDescent="0.25">
      <c r="B30" t="s">
        <v>66</v>
      </c>
      <c r="J30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0" t="s">
        <v>66</v>
      </c>
      <c r="U30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1" spans="1:21" x14ac:dyDescent="0.25">
      <c r="B31" t="s">
        <v>67</v>
      </c>
      <c r="J31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1" t="s">
        <v>67</v>
      </c>
      <c r="U31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3" spans="1:21" x14ac:dyDescent="0.25">
      <c r="A33" s="20" t="s">
        <v>57</v>
      </c>
      <c r="B33" s="20" t="s">
        <v>41</v>
      </c>
      <c r="C33" t="s">
        <v>42</v>
      </c>
      <c r="D33" t="s">
        <v>43</v>
      </c>
      <c r="E33" t="s">
        <v>44</v>
      </c>
      <c r="F33" t="s">
        <v>45</v>
      </c>
      <c r="G33" t="s">
        <v>46</v>
      </c>
      <c r="H33" t="s">
        <v>47</v>
      </c>
      <c r="I33" t="s">
        <v>48</v>
      </c>
      <c r="J33" t="s">
        <v>49</v>
      </c>
      <c r="L33" s="20" t="s">
        <v>62</v>
      </c>
      <c r="M33" s="20" t="s">
        <v>41</v>
      </c>
      <c r="N33" t="s">
        <v>42</v>
      </c>
      <c r="O33" t="s">
        <v>43</v>
      </c>
      <c r="P33" t="s">
        <v>44</v>
      </c>
      <c r="Q33" t="s">
        <v>45</v>
      </c>
      <c r="R33" t="s">
        <v>46</v>
      </c>
      <c r="S33" t="s">
        <v>47</v>
      </c>
      <c r="T33" t="s">
        <v>48</v>
      </c>
      <c r="U33" t="s">
        <v>49</v>
      </c>
    </row>
    <row r="34" spans="1:21" x14ac:dyDescent="0.25">
      <c r="A34" s="14"/>
      <c r="B34" s="14" t="s">
        <v>51</v>
      </c>
      <c r="J34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L34" s="14"/>
      <c r="M34" s="14" t="s">
        <v>51</v>
      </c>
      <c r="U34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5" spans="1:21" x14ac:dyDescent="0.25">
      <c r="B35" t="s">
        <v>52</v>
      </c>
      <c r="J35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5" t="s">
        <v>52</v>
      </c>
      <c r="U35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6" spans="1:21" x14ac:dyDescent="0.25">
      <c r="B36" t="s">
        <v>53</v>
      </c>
      <c r="J36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6" t="s">
        <v>53</v>
      </c>
      <c r="U36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7" spans="1:21" x14ac:dyDescent="0.25">
      <c r="B37" t="s">
        <v>65</v>
      </c>
      <c r="J37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7" t="s">
        <v>65</v>
      </c>
      <c r="U37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8" spans="1:21" x14ac:dyDescent="0.25">
      <c r="B38" t="s">
        <v>66</v>
      </c>
      <c r="J38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8" t="s">
        <v>66</v>
      </c>
      <c r="U38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9" spans="1:21" x14ac:dyDescent="0.25">
      <c r="B39" t="s">
        <v>67</v>
      </c>
      <c r="J39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9" t="s">
        <v>67</v>
      </c>
      <c r="U39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41" spans="1:21" x14ac:dyDescent="0.25">
      <c r="A41" s="20" t="s">
        <v>58</v>
      </c>
      <c r="B41" s="20" t="s">
        <v>41</v>
      </c>
      <c r="C41" t="s">
        <v>42</v>
      </c>
      <c r="D41" t="s">
        <v>43</v>
      </c>
      <c r="E41" t="s">
        <v>44</v>
      </c>
      <c r="F41" t="s">
        <v>45</v>
      </c>
      <c r="G41" t="s">
        <v>46</v>
      </c>
      <c r="H41" t="s">
        <v>47</v>
      </c>
      <c r="I41" t="s">
        <v>48</v>
      </c>
      <c r="J41" t="s">
        <v>49</v>
      </c>
      <c r="L41" s="20" t="s">
        <v>63</v>
      </c>
      <c r="M41" s="20" t="s">
        <v>41</v>
      </c>
      <c r="N41" t="s">
        <v>42</v>
      </c>
      <c r="O41" t="s">
        <v>43</v>
      </c>
      <c r="P41" t="s">
        <v>44</v>
      </c>
      <c r="Q41" t="s">
        <v>45</v>
      </c>
      <c r="R41" t="s">
        <v>46</v>
      </c>
      <c r="S41" t="s">
        <v>47</v>
      </c>
      <c r="T41" t="s">
        <v>48</v>
      </c>
      <c r="U41" t="s">
        <v>49</v>
      </c>
    </row>
    <row r="42" spans="1:21" x14ac:dyDescent="0.25">
      <c r="A42" s="14"/>
      <c r="B42" s="14" t="s">
        <v>51</v>
      </c>
      <c r="J42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L42" s="14"/>
      <c r="M42" s="14" t="s">
        <v>51</v>
      </c>
      <c r="U42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3" spans="1:21" x14ac:dyDescent="0.25">
      <c r="B43" t="s">
        <v>52</v>
      </c>
      <c r="J43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3" t="s">
        <v>52</v>
      </c>
      <c r="U43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4" spans="1:21" x14ac:dyDescent="0.25">
      <c r="B44" t="s">
        <v>53</v>
      </c>
      <c r="J44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4" t="s">
        <v>53</v>
      </c>
      <c r="U44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5" spans="1:21" x14ac:dyDescent="0.25">
      <c r="B45" t="s">
        <v>65</v>
      </c>
      <c r="J45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5" t="s">
        <v>65</v>
      </c>
      <c r="U45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6" spans="1:21" x14ac:dyDescent="0.25">
      <c r="B46" t="s">
        <v>66</v>
      </c>
      <c r="J46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6" t="s">
        <v>66</v>
      </c>
      <c r="U46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7" spans="1:21" x14ac:dyDescent="0.25">
      <c r="B47" t="s">
        <v>67</v>
      </c>
      <c r="J47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7" t="s">
        <v>67</v>
      </c>
      <c r="U47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EB089-B3A0-4AA3-8D7A-BCB943247BFD}">
  <sheetPr codeName="Sheet2"/>
  <dimension ref="A1:U59"/>
  <sheetViews>
    <sheetView workbookViewId="0">
      <selection activeCell="J22" sqref="J22"/>
    </sheetView>
  </sheetViews>
  <sheetFormatPr defaultRowHeight="15" x14ac:dyDescent="0.25"/>
  <cols>
    <col min="1" max="1" width="11.7109375" bestFit="1" customWidth="1"/>
    <col min="2" max="8" width="10.140625" customWidth="1"/>
    <col min="9" max="9" width="12.85546875" bestFit="1" customWidth="1"/>
    <col min="10" max="10" width="16.42578125" customWidth="1"/>
    <col min="21" max="21" width="10.7109375" bestFit="1" customWidth="1"/>
  </cols>
  <sheetData>
    <row r="1" spans="1:11" x14ac:dyDescent="0.25">
      <c r="A1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</row>
    <row r="2" spans="1:11" x14ac:dyDescent="0.25">
      <c r="B2" s="14" t="s">
        <v>51</v>
      </c>
      <c r="C2">
        <v>1</v>
      </c>
      <c r="E2">
        <v>1</v>
      </c>
      <c r="I2">
        <v>2</v>
      </c>
      <c r="J2">
        <f>Table1[[#This Row],[Monday]]+Table1[[#This Row],[Tuesday]]+Table1[[#This Row],[Wensday]]+Table1[[#This Row],[Thrusday]]+Table1[[#This Row],[Friday]]+Table1[[#This Row],[Saturday]]+Table1[[#This Row],[Sunday]]</f>
        <v>4</v>
      </c>
      <c r="K2" t="e">
        <f t="shared" ref="K2:K7" si="0">J23+J31+J39+J47+J54+U23+U31+U39+U47+U54</f>
        <v>#VALUE!</v>
      </c>
    </row>
    <row r="3" spans="1:11" x14ac:dyDescent="0.25">
      <c r="B3" t="s">
        <v>52</v>
      </c>
      <c r="C3">
        <v>2</v>
      </c>
      <c r="E3">
        <v>2</v>
      </c>
      <c r="J3">
        <f>Table1[[#This Row],[Monday]]+Table1[[#This Row],[Tuesday]]+Table1[[#This Row],[Wensday]]+Table1[[#This Row],[Thrusday]]+Table1[[#This Row],[Friday]]+Table1[[#This Row],[Saturday]]+Table1[[#This Row],[Sunday]]</f>
        <v>4</v>
      </c>
      <c r="K3" t="e">
        <f t="shared" si="0"/>
        <v>#VALUE!</v>
      </c>
    </row>
    <row r="4" spans="1:11" x14ac:dyDescent="0.25">
      <c r="B4" t="s">
        <v>53</v>
      </c>
      <c r="C4">
        <v>2</v>
      </c>
      <c r="E4">
        <v>2</v>
      </c>
      <c r="G4">
        <v>2</v>
      </c>
      <c r="I4">
        <v>2</v>
      </c>
      <c r="J4">
        <f>Table1[[#This Row],[Monday]]+Table1[[#This Row],[Tuesday]]+Table1[[#This Row],[Wensday]]+Table1[[#This Row],[Thrusday]]+Table1[[#This Row],[Friday]]+Table1[[#This Row],[Saturday]]+Table1[[#This Row],[Sunday]]</f>
        <v>8</v>
      </c>
      <c r="K4" t="e">
        <f t="shared" si="0"/>
        <v>#VALUE!</v>
      </c>
    </row>
    <row r="5" spans="1:11" x14ac:dyDescent="0.25">
      <c r="B5" t="s">
        <v>65</v>
      </c>
      <c r="J5">
        <f>Table1[[#This Row],[Monday]]+Table1[[#This Row],[Tuesday]]+Table1[[#This Row],[Wensday]]+Table1[[#This Row],[Thrusday]]+Table1[[#This Row],[Friday]]+Table1[[#This Row],[Saturday]]+Table1[[#This Row],[Sunday]]</f>
        <v>0</v>
      </c>
      <c r="K5" t="e">
        <f t="shared" si="0"/>
        <v>#VALUE!</v>
      </c>
    </row>
    <row r="6" spans="1:11" x14ac:dyDescent="0.25">
      <c r="B6" t="s">
        <v>66</v>
      </c>
      <c r="J6">
        <f>Table1[[#This Row],[Monday]]+Table1[[#This Row],[Tuesday]]+Table1[[#This Row],[Wensday]]+Table1[[#This Row],[Thrusday]]+Table1[[#This Row],[Friday]]+Table1[[#This Row],[Saturday]]+Table1[[#This Row],[Sunday]]</f>
        <v>0</v>
      </c>
      <c r="K6" t="e">
        <f t="shared" si="0"/>
        <v>#VALUE!</v>
      </c>
    </row>
    <row r="7" spans="1:11" x14ac:dyDescent="0.25">
      <c r="B7" t="s">
        <v>67</v>
      </c>
      <c r="J7">
        <f>Table1[[#This Row],[Monday]]+Table1[[#This Row],[Tuesday]]+Table1[[#This Row],[Wensday]]+Table1[[#This Row],[Thrusday]]+Table1[[#This Row],[Friday]]+Table1[[#This Row],[Saturday]]+Table1[[#This Row],[Sunday]]</f>
        <v>0</v>
      </c>
      <c r="K7">
        <f t="shared" si="0"/>
        <v>0</v>
      </c>
    </row>
    <row r="10" spans="1:11" x14ac:dyDescent="0.25">
      <c r="A10" t="s">
        <v>54</v>
      </c>
    </row>
    <row r="11" spans="1:11" x14ac:dyDescent="0.25">
      <c r="A11" t="s">
        <v>55</v>
      </c>
    </row>
    <row r="12" spans="1:11" x14ac:dyDescent="0.25">
      <c r="A12" t="s">
        <v>56</v>
      </c>
    </row>
    <row r="13" spans="1:11" x14ac:dyDescent="0.25">
      <c r="A13" t="s">
        <v>57</v>
      </c>
    </row>
    <row r="14" spans="1:11" x14ac:dyDescent="0.25">
      <c r="A14" t="s">
        <v>58</v>
      </c>
    </row>
    <row r="15" spans="1:11" x14ac:dyDescent="0.25">
      <c r="A15" t="s">
        <v>59</v>
      </c>
    </row>
    <row r="16" spans="1:11" x14ac:dyDescent="0.25">
      <c r="A16" t="s">
        <v>60</v>
      </c>
    </row>
    <row r="17" spans="1:21" x14ac:dyDescent="0.25">
      <c r="A17" t="s">
        <v>61</v>
      </c>
    </row>
    <row r="18" spans="1:21" x14ac:dyDescent="0.25">
      <c r="A18" t="s">
        <v>62</v>
      </c>
    </row>
    <row r="19" spans="1:21" x14ac:dyDescent="0.25">
      <c r="A19" t="s">
        <v>63</v>
      </c>
    </row>
    <row r="21" spans="1:21" x14ac:dyDescent="0.25">
      <c r="A21" t="s">
        <v>64</v>
      </c>
      <c r="B21" s="21" t="s">
        <v>41</v>
      </c>
      <c r="C21" s="15" t="s">
        <v>42</v>
      </c>
      <c r="D21" s="15" t="s">
        <v>43</v>
      </c>
      <c r="E21" s="15" t="s">
        <v>44</v>
      </c>
      <c r="F21" s="15" t="s">
        <v>45</v>
      </c>
      <c r="G21" s="15" t="s">
        <v>46</v>
      </c>
      <c r="H21" s="15" t="s">
        <v>47</v>
      </c>
      <c r="I21" s="15" t="s">
        <v>48</v>
      </c>
      <c r="J21" s="15" t="s">
        <v>49</v>
      </c>
      <c r="L21" s="23" t="s">
        <v>59</v>
      </c>
      <c r="M21" s="21" t="s">
        <v>41</v>
      </c>
      <c r="N21" s="15" t="s">
        <v>42</v>
      </c>
      <c r="O21" s="15" t="s">
        <v>43</v>
      </c>
      <c r="P21" s="15" t="s">
        <v>44</v>
      </c>
      <c r="Q21" s="15" t="s">
        <v>45</v>
      </c>
      <c r="R21" s="15" t="s">
        <v>46</v>
      </c>
      <c r="S21" s="15" t="s">
        <v>47</v>
      </c>
      <c r="T21" s="15" t="s">
        <v>48</v>
      </c>
      <c r="U21" s="15" t="s">
        <v>49</v>
      </c>
    </row>
    <row r="22" spans="1:21" x14ac:dyDescent="0.25">
      <c r="B22" s="22" t="s">
        <v>51</v>
      </c>
      <c r="C22" s="17">
        <v>1</v>
      </c>
      <c r="D22" s="17"/>
      <c r="E22" s="17">
        <v>1</v>
      </c>
      <c r="F22" s="17"/>
      <c r="G22" s="17"/>
      <c r="H22" s="17"/>
      <c r="I22" s="17">
        <v>2</v>
      </c>
      <c r="J22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2" s="22" t="s">
        <v>51</v>
      </c>
      <c r="N22" s="17"/>
      <c r="O22" s="17"/>
      <c r="P22" s="17"/>
      <c r="Q22" s="17"/>
      <c r="R22" s="17"/>
      <c r="S22" s="17"/>
      <c r="T22" s="17"/>
      <c r="U22" s="17"/>
    </row>
    <row r="23" spans="1:21" x14ac:dyDescent="0.25">
      <c r="B23" s="17" t="s">
        <v>52</v>
      </c>
      <c r="C23" s="17">
        <v>2</v>
      </c>
      <c r="D23" s="17"/>
      <c r="E23" s="17">
        <v>2</v>
      </c>
      <c r="F23" s="17"/>
      <c r="G23" s="17"/>
      <c r="H23" s="17"/>
      <c r="I23" s="17"/>
      <c r="J23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3" s="17" t="s">
        <v>52</v>
      </c>
      <c r="N23" s="17"/>
      <c r="O23" s="17"/>
      <c r="P23" s="17"/>
      <c r="Q23" s="17"/>
      <c r="R23" s="17"/>
      <c r="S23" s="17"/>
      <c r="T23" s="17"/>
      <c r="U23" s="17"/>
    </row>
    <row r="24" spans="1:21" x14ac:dyDescent="0.25">
      <c r="B24" s="17" t="s">
        <v>53</v>
      </c>
      <c r="C24" s="17">
        <v>2</v>
      </c>
      <c r="D24" s="17"/>
      <c r="E24" s="17">
        <v>2</v>
      </c>
      <c r="F24" s="17"/>
      <c r="G24" s="17">
        <v>2</v>
      </c>
      <c r="H24" s="17"/>
      <c r="I24" s="17">
        <v>2</v>
      </c>
      <c r="J24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4" s="17" t="s">
        <v>53</v>
      </c>
      <c r="N24" s="17"/>
      <c r="O24" s="17"/>
      <c r="P24" s="17"/>
      <c r="Q24" s="17"/>
      <c r="R24" s="17"/>
      <c r="S24" s="17"/>
      <c r="T24" s="17"/>
      <c r="U24" s="17"/>
    </row>
    <row r="25" spans="1:21" x14ac:dyDescent="0.25">
      <c r="B25" s="17" t="s">
        <v>65</v>
      </c>
      <c r="C25" s="17"/>
      <c r="D25" s="17"/>
      <c r="E25" s="17"/>
      <c r="F25" s="17"/>
      <c r="G25" s="17"/>
      <c r="H25" s="17"/>
      <c r="I25" s="17"/>
      <c r="J25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5" s="17" t="s">
        <v>65</v>
      </c>
      <c r="N25" s="17"/>
      <c r="O25" s="17"/>
      <c r="P25" s="17"/>
      <c r="Q25" s="17"/>
      <c r="R25" s="17"/>
      <c r="S25" s="17"/>
      <c r="T25" s="17"/>
      <c r="U25" s="17"/>
    </row>
    <row r="26" spans="1:21" x14ac:dyDescent="0.25">
      <c r="B26" s="19" t="s">
        <v>66</v>
      </c>
      <c r="C26" s="17"/>
      <c r="D26" s="17"/>
      <c r="E26" s="17"/>
      <c r="F26" s="17"/>
      <c r="G26" s="17"/>
      <c r="H26" s="17"/>
      <c r="I26" s="17"/>
      <c r="J26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6" s="17" t="s">
        <v>66</v>
      </c>
      <c r="N26" s="19"/>
      <c r="O26" s="19"/>
      <c r="P26" s="19"/>
      <c r="Q26" s="19"/>
      <c r="R26" s="19"/>
      <c r="S26" s="19"/>
      <c r="T26" s="19"/>
      <c r="U26" s="19"/>
    </row>
    <row r="27" spans="1:21" x14ac:dyDescent="0.25">
      <c r="B27" t="s">
        <v>68</v>
      </c>
      <c r="C27" s="19"/>
      <c r="D27" s="19"/>
      <c r="E27" s="19"/>
      <c r="F27" s="19"/>
      <c r="G27" s="19"/>
      <c r="H27" s="19"/>
      <c r="I27" s="19"/>
      <c r="J27" s="19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7" s="17" t="s">
        <v>67</v>
      </c>
    </row>
    <row r="29" spans="1:21" x14ac:dyDescent="0.25">
      <c r="A29" t="s">
        <v>55</v>
      </c>
      <c r="B29" s="21" t="s">
        <v>41</v>
      </c>
      <c r="C29" s="17"/>
      <c r="D29" s="17"/>
      <c r="E29" s="17"/>
      <c r="F29" s="17"/>
      <c r="G29" s="17"/>
      <c r="H29" s="17"/>
      <c r="I29" s="17"/>
      <c r="J29" s="17"/>
      <c r="L29" t="s">
        <v>60</v>
      </c>
      <c r="M29" s="21" t="s">
        <v>41</v>
      </c>
      <c r="N29" s="15" t="s">
        <v>42</v>
      </c>
      <c r="O29" s="15" t="s">
        <v>43</v>
      </c>
      <c r="P29" s="15" t="s">
        <v>44</v>
      </c>
      <c r="Q29" s="15" t="s">
        <v>45</v>
      </c>
      <c r="R29" s="15" t="s">
        <v>46</v>
      </c>
      <c r="S29" s="15" t="s">
        <v>47</v>
      </c>
      <c r="T29" s="15" t="s">
        <v>48</v>
      </c>
      <c r="U29" s="15" t="s">
        <v>49</v>
      </c>
    </row>
    <row r="30" spans="1:21" x14ac:dyDescent="0.25">
      <c r="B30" s="22" t="s">
        <v>51</v>
      </c>
      <c r="C30" s="17"/>
      <c r="D30" s="17"/>
      <c r="E30" s="17"/>
      <c r="F30" s="17"/>
      <c r="G30" s="17"/>
      <c r="H30" s="17"/>
      <c r="I30" s="17"/>
      <c r="J30" s="17"/>
      <c r="M30" s="22" t="s">
        <v>51</v>
      </c>
      <c r="N30" s="17"/>
      <c r="O30" s="17"/>
      <c r="P30" s="17"/>
      <c r="Q30" s="17"/>
      <c r="R30" s="17"/>
      <c r="S30" s="17"/>
      <c r="T30" s="17"/>
      <c r="U30" s="17"/>
    </row>
    <row r="31" spans="1:21" x14ac:dyDescent="0.25">
      <c r="B31" s="17" t="s">
        <v>52</v>
      </c>
      <c r="C31" s="17"/>
      <c r="D31" s="17"/>
      <c r="E31" s="17"/>
      <c r="F31" s="17"/>
      <c r="G31" s="17"/>
      <c r="H31" s="17"/>
      <c r="I31" s="17"/>
      <c r="J31" s="17"/>
      <c r="M31" s="17" t="s">
        <v>52</v>
      </c>
      <c r="N31" s="17"/>
      <c r="O31" s="17"/>
      <c r="P31" s="17"/>
      <c r="Q31" s="17"/>
      <c r="R31" s="17"/>
      <c r="S31" s="17"/>
      <c r="T31" s="17"/>
      <c r="U31" s="17"/>
    </row>
    <row r="32" spans="1:21" x14ac:dyDescent="0.25">
      <c r="B32" s="17" t="s">
        <v>53</v>
      </c>
      <c r="C32" s="17"/>
      <c r="D32" s="17"/>
      <c r="E32" s="17"/>
      <c r="F32" s="17"/>
      <c r="G32" s="17"/>
      <c r="H32" s="17"/>
      <c r="I32" s="17"/>
      <c r="J32" s="17"/>
      <c r="M32" s="17" t="s">
        <v>53</v>
      </c>
      <c r="N32" s="17"/>
      <c r="O32" s="17"/>
      <c r="P32" s="17"/>
      <c r="Q32" s="17"/>
      <c r="R32" s="17"/>
      <c r="S32" s="17"/>
      <c r="T32" s="17"/>
      <c r="U32" s="17"/>
    </row>
    <row r="33" spans="1:21" x14ac:dyDescent="0.25">
      <c r="B33" s="17" t="s">
        <v>65</v>
      </c>
      <c r="C33" s="17"/>
      <c r="D33" s="17"/>
      <c r="E33" s="17"/>
      <c r="F33" s="17"/>
      <c r="G33" s="17"/>
      <c r="H33" s="17"/>
      <c r="I33" s="17"/>
      <c r="J33" s="17"/>
      <c r="M33" s="17" t="s">
        <v>65</v>
      </c>
      <c r="N33" s="17"/>
      <c r="O33" s="17"/>
      <c r="P33" s="17"/>
      <c r="Q33" s="17"/>
      <c r="R33" s="17"/>
      <c r="S33" s="17"/>
      <c r="T33" s="17"/>
      <c r="U33" s="17"/>
    </row>
    <row r="34" spans="1:21" x14ac:dyDescent="0.25">
      <c r="B34" s="17" t="s">
        <v>66</v>
      </c>
      <c r="C34" s="19"/>
      <c r="D34" s="19"/>
      <c r="E34" s="19"/>
      <c r="F34" s="19"/>
      <c r="G34" s="19"/>
      <c r="H34" s="19"/>
      <c r="I34" s="19"/>
      <c r="J34" s="19"/>
      <c r="M34" s="17" t="s">
        <v>66</v>
      </c>
      <c r="N34" s="19"/>
      <c r="O34" s="19"/>
      <c r="P34" s="19"/>
      <c r="Q34" s="19"/>
      <c r="R34" s="19"/>
      <c r="S34" s="19"/>
      <c r="T34" s="19"/>
      <c r="U34" s="19"/>
    </row>
    <row r="35" spans="1:21" x14ac:dyDescent="0.25">
      <c r="B35" s="17" t="s">
        <v>67</v>
      </c>
      <c r="M35" s="17" t="s">
        <v>67</v>
      </c>
    </row>
    <row r="36" spans="1:21" x14ac:dyDescent="0.25">
      <c r="B36" s="19"/>
      <c r="C36" s="17"/>
      <c r="D36" s="17"/>
      <c r="E36" s="17"/>
      <c r="F36" s="17"/>
      <c r="G36" s="17"/>
      <c r="H36" s="17"/>
      <c r="I36" s="17"/>
      <c r="J36" s="17"/>
    </row>
    <row r="37" spans="1:21" x14ac:dyDescent="0.25">
      <c r="A37" t="s">
        <v>56</v>
      </c>
      <c r="B37" s="21" t="s">
        <v>41</v>
      </c>
      <c r="C37" s="17"/>
      <c r="D37" s="17"/>
      <c r="E37" s="17"/>
      <c r="F37" s="17"/>
      <c r="G37" s="17"/>
      <c r="H37" s="17"/>
      <c r="I37" s="17"/>
      <c r="J37" s="17"/>
      <c r="L37" s="23" t="s">
        <v>61</v>
      </c>
      <c r="M37" s="21" t="s">
        <v>41</v>
      </c>
      <c r="N37" s="15" t="s">
        <v>42</v>
      </c>
      <c r="O37" s="15" t="s">
        <v>43</v>
      </c>
      <c r="P37" s="15" t="s">
        <v>44</v>
      </c>
      <c r="Q37" s="15" t="s">
        <v>45</v>
      </c>
      <c r="R37" s="15" t="s">
        <v>46</v>
      </c>
      <c r="S37" s="15" t="s">
        <v>47</v>
      </c>
      <c r="T37" s="15" t="s">
        <v>48</v>
      </c>
      <c r="U37" s="15" t="s">
        <v>49</v>
      </c>
    </row>
    <row r="38" spans="1:21" x14ac:dyDescent="0.25">
      <c r="B38" s="22" t="s">
        <v>51</v>
      </c>
      <c r="C38" s="17"/>
      <c r="D38" s="17"/>
      <c r="E38" s="17"/>
      <c r="F38" s="17"/>
      <c r="G38" s="17"/>
      <c r="H38" s="17"/>
      <c r="I38" s="17"/>
      <c r="J38" s="17"/>
      <c r="M38" s="22" t="s">
        <v>51</v>
      </c>
      <c r="N38" s="17"/>
      <c r="O38" s="17"/>
      <c r="P38" s="17"/>
      <c r="Q38" s="17"/>
      <c r="R38" s="17"/>
      <c r="S38" s="17"/>
      <c r="T38" s="17"/>
      <c r="U38" s="17"/>
    </row>
    <row r="39" spans="1:21" x14ac:dyDescent="0.25">
      <c r="B39" s="17" t="s">
        <v>52</v>
      </c>
      <c r="C39" s="17"/>
      <c r="D39" s="17"/>
      <c r="E39" s="17"/>
      <c r="F39" s="17"/>
      <c r="G39" s="17"/>
      <c r="H39" s="17"/>
      <c r="I39" s="17"/>
      <c r="J39" s="17"/>
      <c r="M39" s="17" t="s">
        <v>52</v>
      </c>
      <c r="N39" s="17"/>
      <c r="O39" s="17"/>
      <c r="P39" s="17"/>
      <c r="Q39" s="17"/>
      <c r="R39" s="17"/>
      <c r="S39" s="17"/>
      <c r="T39" s="17"/>
      <c r="U39" s="17"/>
    </row>
    <row r="40" spans="1:21" x14ac:dyDescent="0.25">
      <c r="B40" s="17" t="s">
        <v>53</v>
      </c>
      <c r="C40" s="17"/>
      <c r="D40" s="17"/>
      <c r="E40" s="17"/>
      <c r="F40" s="17"/>
      <c r="G40" s="17"/>
      <c r="H40" s="17"/>
      <c r="I40" s="17"/>
      <c r="J40" s="17"/>
      <c r="M40" s="17" t="s">
        <v>53</v>
      </c>
      <c r="N40" s="17"/>
      <c r="O40" s="17"/>
      <c r="P40" s="17"/>
      <c r="Q40" s="17"/>
      <c r="R40" s="17"/>
      <c r="S40" s="17"/>
      <c r="T40" s="17"/>
      <c r="U40" s="17"/>
    </row>
    <row r="41" spans="1:21" x14ac:dyDescent="0.25">
      <c r="B41" s="17" t="s">
        <v>65</v>
      </c>
      <c r="C41" s="19"/>
      <c r="D41" s="19"/>
      <c r="E41" s="19"/>
      <c r="F41" s="19"/>
      <c r="G41" s="19"/>
      <c r="H41" s="19"/>
      <c r="I41" s="19"/>
      <c r="J41" s="19"/>
      <c r="M41" s="17" t="s">
        <v>65</v>
      </c>
      <c r="N41" s="17"/>
      <c r="O41" s="17"/>
      <c r="P41" s="17"/>
      <c r="Q41" s="17"/>
      <c r="R41" s="17"/>
      <c r="S41" s="17"/>
      <c r="T41" s="17"/>
      <c r="U41" s="17"/>
    </row>
    <row r="42" spans="1:21" x14ac:dyDescent="0.25">
      <c r="B42" s="17" t="s">
        <v>66</v>
      </c>
      <c r="C42" s="19"/>
      <c r="D42" s="19"/>
      <c r="E42" s="19"/>
      <c r="F42" s="19"/>
      <c r="G42" s="19"/>
      <c r="H42" s="19"/>
      <c r="I42" s="19"/>
      <c r="J42" s="19"/>
      <c r="M42" s="17" t="s">
        <v>66</v>
      </c>
      <c r="N42" s="19"/>
      <c r="O42" s="19"/>
      <c r="P42" s="19"/>
      <c r="Q42" s="19"/>
      <c r="R42" s="19"/>
      <c r="S42" s="19"/>
      <c r="T42" s="19"/>
      <c r="U42" s="19"/>
    </row>
    <row r="43" spans="1:21" x14ac:dyDescent="0.25">
      <c r="B43" s="17" t="s">
        <v>67</v>
      </c>
      <c r="M43" s="17" t="s">
        <v>67</v>
      </c>
    </row>
    <row r="45" spans="1:21" x14ac:dyDescent="0.25">
      <c r="A45" t="s">
        <v>57</v>
      </c>
      <c r="B45" s="21" t="s">
        <v>41</v>
      </c>
      <c r="C45" s="15" t="s">
        <v>42</v>
      </c>
      <c r="D45" s="15" t="s">
        <v>43</v>
      </c>
      <c r="E45" s="15" t="s">
        <v>44</v>
      </c>
      <c r="F45" s="15" t="s">
        <v>45</v>
      </c>
      <c r="G45" s="15" t="s">
        <v>46</v>
      </c>
      <c r="H45" s="15" t="s">
        <v>47</v>
      </c>
      <c r="I45" s="15" t="s">
        <v>48</v>
      </c>
      <c r="J45" s="15" t="s">
        <v>49</v>
      </c>
      <c r="L45" t="s">
        <v>62</v>
      </c>
      <c r="M45" s="21" t="s">
        <v>41</v>
      </c>
      <c r="N45" s="15" t="s">
        <v>42</v>
      </c>
      <c r="O45" s="15" t="s">
        <v>43</v>
      </c>
      <c r="P45" s="15" t="s">
        <v>44</v>
      </c>
      <c r="Q45" s="15" t="s">
        <v>45</v>
      </c>
      <c r="R45" s="15" t="s">
        <v>46</v>
      </c>
      <c r="S45" s="15" t="s">
        <v>47</v>
      </c>
      <c r="T45" s="15" t="s">
        <v>48</v>
      </c>
      <c r="U45" s="15" t="s">
        <v>49</v>
      </c>
    </row>
    <row r="46" spans="1:21" x14ac:dyDescent="0.25">
      <c r="B46" s="22" t="s">
        <v>51</v>
      </c>
      <c r="C46" s="17"/>
      <c r="D46" s="17"/>
      <c r="E46" s="17"/>
      <c r="F46" s="17"/>
      <c r="G46" s="17"/>
      <c r="H46" s="17"/>
      <c r="I46" s="17"/>
      <c r="J46" s="17"/>
      <c r="M46" s="22" t="s">
        <v>51</v>
      </c>
      <c r="N46" s="17"/>
      <c r="O46" s="17"/>
      <c r="P46" s="17"/>
      <c r="Q46" s="17"/>
      <c r="R46" s="17"/>
      <c r="S46" s="17"/>
      <c r="T46" s="17"/>
      <c r="U46" s="17"/>
    </row>
    <row r="47" spans="1:21" x14ac:dyDescent="0.25">
      <c r="B47" s="17" t="s">
        <v>52</v>
      </c>
      <c r="C47" s="17"/>
      <c r="D47" s="17"/>
      <c r="E47" s="17"/>
      <c r="F47" s="17"/>
      <c r="G47" s="17"/>
      <c r="H47" s="17"/>
      <c r="I47" s="17"/>
      <c r="J47" s="17"/>
      <c r="M47" s="17" t="s">
        <v>52</v>
      </c>
      <c r="N47" s="17"/>
      <c r="O47" s="17"/>
      <c r="P47" s="17"/>
      <c r="Q47" s="17"/>
      <c r="R47" s="17"/>
      <c r="S47" s="17"/>
      <c r="T47" s="17"/>
      <c r="U47" s="17"/>
    </row>
    <row r="48" spans="1:21" x14ac:dyDescent="0.25">
      <c r="B48" s="17" t="s">
        <v>53</v>
      </c>
      <c r="C48" s="17"/>
      <c r="D48" s="17"/>
      <c r="E48" s="17"/>
      <c r="F48" s="17"/>
      <c r="G48" s="17"/>
      <c r="H48" s="17"/>
      <c r="I48" s="17"/>
      <c r="J48" s="17"/>
      <c r="M48" s="17" t="s">
        <v>53</v>
      </c>
      <c r="N48" s="17"/>
      <c r="O48" s="17"/>
      <c r="P48" s="17"/>
      <c r="Q48" s="17"/>
      <c r="R48" s="17"/>
      <c r="S48" s="17"/>
      <c r="T48" s="17"/>
      <c r="U48" s="17"/>
    </row>
    <row r="49" spans="1:21" x14ac:dyDescent="0.25">
      <c r="B49" s="17" t="s">
        <v>65</v>
      </c>
      <c r="C49" s="17"/>
      <c r="D49" s="17"/>
      <c r="E49" s="17"/>
      <c r="F49" s="17"/>
      <c r="G49" s="17"/>
      <c r="H49" s="17"/>
      <c r="I49" s="17"/>
      <c r="J49" s="17"/>
      <c r="M49" s="17" t="s">
        <v>65</v>
      </c>
      <c r="N49" s="17"/>
      <c r="O49" s="17"/>
      <c r="P49" s="17"/>
      <c r="Q49" s="17"/>
      <c r="R49" s="17"/>
      <c r="S49" s="17"/>
      <c r="T49" s="17"/>
      <c r="U49" s="17"/>
    </row>
    <row r="50" spans="1:21" x14ac:dyDescent="0.25">
      <c r="B50" s="17" t="s">
        <v>66</v>
      </c>
      <c r="C50" s="19"/>
      <c r="D50" s="19"/>
      <c r="E50" s="19"/>
      <c r="F50" s="19"/>
      <c r="G50" s="19"/>
      <c r="H50" s="19"/>
      <c r="I50" s="19"/>
      <c r="J50" s="19"/>
      <c r="M50" s="17" t="s">
        <v>66</v>
      </c>
      <c r="N50" s="19"/>
      <c r="O50" s="19"/>
      <c r="P50" s="19"/>
      <c r="Q50" s="19"/>
      <c r="R50" s="19"/>
      <c r="S50" s="19"/>
      <c r="T50" s="19"/>
      <c r="U50" s="19"/>
    </row>
    <row r="51" spans="1:21" x14ac:dyDescent="0.25">
      <c r="B51" s="17" t="s">
        <v>67</v>
      </c>
      <c r="M51" s="17" t="s">
        <v>67</v>
      </c>
    </row>
    <row r="53" spans="1:21" x14ac:dyDescent="0.25">
      <c r="A53" t="s">
        <v>58</v>
      </c>
      <c r="B53" s="21" t="s">
        <v>41</v>
      </c>
      <c r="C53" s="15" t="s">
        <v>42</v>
      </c>
      <c r="D53" s="15" t="s">
        <v>43</v>
      </c>
      <c r="E53" s="15" t="s">
        <v>44</v>
      </c>
      <c r="F53" s="15" t="s">
        <v>45</v>
      </c>
      <c r="G53" s="15" t="s">
        <v>46</v>
      </c>
      <c r="H53" s="15" t="s">
        <v>47</v>
      </c>
      <c r="I53" s="15" t="s">
        <v>48</v>
      </c>
      <c r="J53" s="15" t="s">
        <v>49</v>
      </c>
      <c r="L53" t="s">
        <v>63</v>
      </c>
      <c r="M53" s="21" t="s">
        <v>41</v>
      </c>
      <c r="N53" s="15" t="s">
        <v>42</v>
      </c>
      <c r="O53" s="15" t="s">
        <v>43</v>
      </c>
      <c r="P53" s="15" t="s">
        <v>44</v>
      </c>
      <c r="Q53" s="15" t="s">
        <v>45</v>
      </c>
      <c r="R53" s="15" t="s">
        <v>46</v>
      </c>
      <c r="S53" s="15" t="s">
        <v>47</v>
      </c>
      <c r="T53" s="15" t="s">
        <v>48</v>
      </c>
      <c r="U53" s="15" t="s">
        <v>49</v>
      </c>
    </row>
    <row r="54" spans="1:21" x14ac:dyDescent="0.25">
      <c r="B54" s="22" t="s">
        <v>51</v>
      </c>
      <c r="C54" s="17"/>
      <c r="D54" s="17"/>
      <c r="E54" s="17"/>
      <c r="F54" s="17"/>
      <c r="G54" s="17"/>
      <c r="H54" s="17"/>
      <c r="I54" s="17"/>
      <c r="J54" s="17"/>
      <c r="M54" s="22" t="s">
        <v>51</v>
      </c>
      <c r="N54" s="17"/>
      <c r="O54" s="17"/>
      <c r="P54" s="17"/>
      <c r="Q54" s="17"/>
      <c r="R54" s="17"/>
      <c r="S54" s="17"/>
      <c r="T54" s="17"/>
      <c r="U54" s="17"/>
    </row>
    <row r="55" spans="1:21" x14ac:dyDescent="0.25">
      <c r="B55" s="17" t="s">
        <v>52</v>
      </c>
      <c r="C55" s="17"/>
      <c r="D55" s="17"/>
      <c r="E55" s="17"/>
      <c r="F55" s="17"/>
      <c r="G55" s="17"/>
      <c r="H55" s="17"/>
      <c r="I55" s="17"/>
      <c r="J55" s="17"/>
      <c r="M55" s="17" t="s">
        <v>52</v>
      </c>
      <c r="N55" s="17"/>
      <c r="O55" s="17"/>
      <c r="P55" s="17"/>
      <c r="Q55" s="17"/>
      <c r="R55" s="17"/>
      <c r="S55" s="17"/>
      <c r="T55" s="17"/>
      <c r="U55" s="17"/>
    </row>
    <row r="56" spans="1:21" x14ac:dyDescent="0.25">
      <c r="B56" s="17" t="s">
        <v>53</v>
      </c>
      <c r="C56" s="17"/>
      <c r="D56" s="17"/>
      <c r="E56" s="17"/>
      <c r="F56" s="17"/>
      <c r="G56" s="17"/>
      <c r="H56" s="17"/>
      <c r="I56" s="17"/>
      <c r="J56" s="17"/>
      <c r="M56" s="17" t="s">
        <v>53</v>
      </c>
      <c r="N56" s="17"/>
      <c r="O56" s="17"/>
      <c r="P56" s="17"/>
      <c r="Q56" s="17"/>
      <c r="R56" s="17"/>
      <c r="S56" s="17"/>
      <c r="T56" s="17"/>
      <c r="U56" s="17"/>
    </row>
    <row r="57" spans="1:21" x14ac:dyDescent="0.25">
      <c r="B57" s="17" t="s">
        <v>65</v>
      </c>
      <c r="C57" s="17"/>
      <c r="D57" s="17"/>
      <c r="E57" s="17"/>
      <c r="F57" s="17"/>
      <c r="G57" s="17"/>
      <c r="H57" s="17"/>
      <c r="I57" s="17"/>
      <c r="J57" s="17"/>
      <c r="M57" s="17" t="s">
        <v>65</v>
      </c>
      <c r="N57" s="17"/>
      <c r="O57" s="17"/>
      <c r="P57" s="17"/>
      <c r="Q57" s="17"/>
      <c r="R57" s="17"/>
      <c r="S57" s="17"/>
      <c r="T57" s="17"/>
      <c r="U57" s="17"/>
    </row>
    <row r="58" spans="1:21" x14ac:dyDescent="0.25">
      <c r="B58" s="17" t="s">
        <v>66</v>
      </c>
      <c r="C58" s="19"/>
      <c r="D58" s="19"/>
      <c r="E58" s="19"/>
      <c r="F58" s="19"/>
      <c r="G58" s="19"/>
      <c r="H58" s="19"/>
      <c r="I58" s="19"/>
      <c r="J58" s="19"/>
      <c r="M58" s="17" t="s">
        <v>66</v>
      </c>
      <c r="N58" s="19"/>
      <c r="O58" s="19"/>
      <c r="P58" s="19"/>
      <c r="Q58" s="19"/>
      <c r="R58" s="19"/>
      <c r="S58" s="19"/>
      <c r="T58" s="19"/>
      <c r="U58" s="19"/>
    </row>
    <row r="59" spans="1:21" x14ac:dyDescent="0.25">
      <c r="B59" s="17" t="s">
        <v>67</v>
      </c>
      <c r="M59" s="17" t="s">
        <v>67</v>
      </c>
    </row>
  </sheetData>
  <phoneticPr fontId="7" type="noConversion"/>
  <dataValidations count="1">
    <dataValidation type="list" allowBlank="1" showInputMessage="1" showErrorMessage="1" sqref="A1:A9" xr:uid="{E6B39C46-66E4-4A15-9F4D-500140B37A6D}">
      <formula1>$A$10:$A$19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98245-52E7-458A-A3F3-CD40F1787C0D}">
  <sheetPr codeName="Sheet4">
    <pageSetUpPr fitToPage="1"/>
  </sheetPr>
  <dimension ref="A2:I57"/>
  <sheetViews>
    <sheetView tabSelected="1" zoomScale="130" zoomScaleNormal="130" zoomScalePageLayoutView="130" workbookViewId="0">
      <pane ySplit="3" topLeftCell="A7" activePane="bottomLeft" state="frozen"/>
      <selection pane="bottomLeft" activeCell="C23" sqref="C23"/>
    </sheetView>
  </sheetViews>
  <sheetFormatPr defaultColWidth="8.7109375" defaultRowHeight="15" x14ac:dyDescent="0.25"/>
  <cols>
    <col min="1" max="1" width="6.85546875" style="1" bestFit="1" customWidth="1"/>
    <col min="2" max="2" width="49.5703125" bestFit="1" customWidth="1"/>
    <col min="3" max="3" width="6.7109375" style="1" bestFit="1" customWidth="1"/>
    <col min="4" max="4" width="10.7109375" style="1" bestFit="1" customWidth="1"/>
    <col min="5" max="6" width="7.7109375" style="1" bestFit="1" customWidth="1"/>
    <col min="7" max="7" width="11.140625" style="2" bestFit="1" customWidth="1"/>
    <col min="8" max="8" width="9" style="2" customWidth="1"/>
    <col min="9" max="9" width="10.28515625" style="2" customWidth="1"/>
  </cols>
  <sheetData>
    <row r="2" spans="1:9" x14ac:dyDescent="0.25">
      <c r="A2" s="25" t="s">
        <v>4</v>
      </c>
      <c r="B2" s="26"/>
      <c r="C2" s="26"/>
      <c r="D2" s="26"/>
      <c r="E2" s="26"/>
      <c r="F2" s="26"/>
      <c r="G2" s="26"/>
      <c r="H2" s="26"/>
      <c r="I2" s="5"/>
    </row>
    <row r="3" spans="1:9" ht="15.75" thickBot="1" x14ac:dyDescent="0.3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25">
      <c r="A4" s="9">
        <v>1</v>
      </c>
      <c r="B4" s="10" t="s">
        <v>69</v>
      </c>
      <c r="C4" s="29"/>
      <c r="D4" s="9"/>
      <c r="E4" s="9"/>
      <c r="F4" s="9"/>
      <c r="G4" s="13" t="s">
        <v>53</v>
      </c>
      <c r="H4" s="4" t="s">
        <v>5</v>
      </c>
      <c r="I4" s="3"/>
    </row>
    <row r="5" spans="1:9" x14ac:dyDescent="0.25">
      <c r="A5" s="9">
        <v>1.1000000000000001</v>
      </c>
      <c r="B5" s="10" t="s">
        <v>114</v>
      </c>
      <c r="C5" s="9">
        <v>0</v>
      </c>
      <c r="D5" s="9"/>
      <c r="E5" s="9"/>
      <c r="F5" s="9"/>
      <c r="G5" s="13" t="s">
        <v>53</v>
      </c>
      <c r="H5" s="4" t="s">
        <v>5</v>
      </c>
      <c r="I5" s="3"/>
    </row>
    <row r="6" spans="1:9" x14ac:dyDescent="0.25">
      <c r="A6" s="9">
        <v>1.2</v>
      </c>
      <c r="B6" s="10" t="s">
        <v>115</v>
      </c>
      <c r="C6" s="9">
        <v>0</v>
      </c>
      <c r="D6" s="9"/>
      <c r="E6" s="9"/>
      <c r="F6" s="9"/>
      <c r="G6" s="13" t="s">
        <v>53</v>
      </c>
      <c r="H6" s="4" t="s">
        <v>5</v>
      </c>
      <c r="I6" s="3"/>
    </row>
    <row r="7" spans="1:9" ht="30" x14ac:dyDescent="0.25">
      <c r="A7" s="9">
        <v>1.3</v>
      </c>
      <c r="B7" s="27" t="s">
        <v>116</v>
      </c>
      <c r="C7" s="9">
        <v>0</v>
      </c>
      <c r="D7" s="9"/>
      <c r="E7" s="9"/>
      <c r="F7" s="9"/>
      <c r="G7" s="13" t="s">
        <v>53</v>
      </c>
      <c r="H7" s="4" t="s">
        <v>5</v>
      </c>
      <c r="I7" s="3"/>
    </row>
    <row r="8" spans="1:9" ht="30" x14ac:dyDescent="0.25">
      <c r="A8" s="9">
        <v>1.4</v>
      </c>
      <c r="B8" s="27" t="s">
        <v>117</v>
      </c>
      <c r="C8" s="9">
        <v>0</v>
      </c>
      <c r="D8" s="9"/>
      <c r="E8" s="9"/>
      <c r="F8" s="9"/>
      <c r="G8" s="13" t="s">
        <v>53</v>
      </c>
      <c r="H8" s="4" t="s">
        <v>5</v>
      </c>
      <c r="I8" s="3"/>
    </row>
    <row r="9" spans="1:9" ht="30" x14ac:dyDescent="0.25">
      <c r="A9" s="9">
        <v>1.5</v>
      </c>
      <c r="B9" s="27" t="s">
        <v>118</v>
      </c>
      <c r="C9" s="9">
        <v>0</v>
      </c>
      <c r="D9" s="9"/>
      <c r="E9" s="9"/>
      <c r="F9" s="9"/>
      <c r="G9" s="13" t="s">
        <v>119</v>
      </c>
      <c r="H9" s="4" t="s">
        <v>5</v>
      </c>
      <c r="I9" s="3"/>
    </row>
    <row r="10" spans="1:9" x14ac:dyDescent="0.25">
      <c r="A10" s="9">
        <v>2</v>
      </c>
      <c r="B10" s="10" t="s">
        <v>70</v>
      </c>
      <c r="C10" s="29"/>
      <c r="D10" s="9"/>
      <c r="E10" s="9"/>
      <c r="F10" s="9"/>
      <c r="G10" s="13" t="s">
        <v>120</v>
      </c>
      <c r="H10" s="4" t="s">
        <v>5</v>
      </c>
      <c r="I10" s="3"/>
    </row>
    <row r="11" spans="1:9" x14ac:dyDescent="0.25">
      <c r="A11" s="9">
        <v>2.1</v>
      </c>
      <c r="B11" s="10" t="s">
        <v>74</v>
      </c>
      <c r="C11" s="9"/>
      <c r="D11" s="9"/>
      <c r="E11" s="9"/>
      <c r="F11" s="9"/>
      <c r="G11" s="13" t="s">
        <v>121</v>
      </c>
      <c r="H11" s="4" t="s">
        <v>5</v>
      </c>
      <c r="I11" s="3"/>
    </row>
    <row r="12" spans="1:9" x14ac:dyDescent="0.25">
      <c r="A12" s="9" t="s">
        <v>80</v>
      </c>
      <c r="B12" s="10" t="s">
        <v>81</v>
      </c>
      <c r="C12" s="9">
        <v>1</v>
      </c>
      <c r="D12" s="9"/>
      <c r="E12" s="9"/>
      <c r="F12" s="9"/>
      <c r="G12" s="13" t="s">
        <v>121</v>
      </c>
      <c r="H12" s="4" t="s">
        <v>5</v>
      </c>
      <c r="I12" s="3"/>
    </row>
    <row r="13" spans="1:9" x14ac:dyDescent="0.25">
      <c r="A13" s="9" t="s">
        <v>82</v>
      </c>
      <c r="B13" s="10" t="s">
        <v>83</v>
      </c>
      <c r="C13" s="9">
        <v>1</v>
      </c>
      <c r="D13" s="9"/>
      <c r="E13" s="9"/>
      <c r="F13" s="9"/>
      <c r="G13" s="13" t="s">
        <v>121</v>
      </c>
      <c r="H13" s="4" t="s">
        <v>5</v>
      </c>
      <c r="I13" s="3"/>
    </row>
    <row r="14" spans="1:9" x14ac:dyDescent="0.25">
      <c r="A14" s="9">
        <v>2.2000000000000002</v>
      </c>
      <c r="B14" s="10" t="s">
        <v>75</v>
      </c>
      <c r="C14" s="9"/>
      <c r="D14" s="9"/>
      <c r="E14" s="9"/>
      <c r="F14" s="9"/>
      <c r="G14" s="13" t="s">
        <v>120</v>
      </c>
      <c r="H14" s="4" t="s">
        <v>5</v>
      </c>
      <c r="I14" s="3"/>
    </row>
    <row r="15" spans="1:9" x14ac:dyDescent="0.25">
      <c r="A15" s="9" t="s">
        <v>84</v>
      </c>
      <c r="B15" s="10" t="s">
        <v>85</v>
      </c>
      <c r="C15" s="9">
        <v>2</v>
      </c>
      <c r="D15" s="9"/>
      <c r="E15" s="9"/>
      <c r="F15" s="9"/>
      <c r="G15" s="13" t="s">
        <v>121</v>
      </c>
      <c r="H15" s="4" t="s">
        <v>5</v>
      </c>
      <c r="I15" s="3"/>
    </row>
    <row r="16" spans="1:9" x14ac:dyDescent="0.25">
      <c r="A16" s="9" t="s">
        <v>86</v>
      </c>
      <c r="B16" s="10" t="s">
        <v>87</v>
      </c>
      <c r="C16" s="9">
        <v>5</v>
      </c>
      <c r="D16" s="9"/>
      <c r="E16" s="9"/>
      <c r="F16" s="9"/>
      <c r="G16" s="13" t="s">
        <v>121</v>
      </c>
      <c r="H16" s="4" t="s">
        <v>5</v>
      </c>
      <c r="I16" s="3"/>
    </row>
    <row r="17" spans="1:9" ht="30" x14ac:dyDescent="0.25">
      <c r="A17" s="9" t="s">
        <v>88</v>
      </c>
      <c r="B17" s="27" t="s">
        <v>97</v>
      </c>
      <c r="C17" s="9">
        <v>5</v>
      </c>
      <c r="D17" s="9"/>
      <c r="E17" s="9"/>
      <c r="F17" s="9"/>
      <c r="G17" s="13" t="s">
        <v>120</v>
      </c>
      <c r="H17" s="4" t="s">
        <v>5</v>
      </c>
      <c r="I17" s="3"/>
    </row>
    <row r="18" spans="1:9" x14ac:dyDescent="0.25">
      <c r="A18" s="9">
        <v>2.2999999999999998</v>
      </c>
      <c r="B18" s="10" t="s">
        <v>76</v>
      </c>
      <c r="C18" s="9"/>
      <c r="D18" s="9"/>
      <c r="E18" s="9"/>
      <c r="F18" s="9"/>
      <c r="G18" s="13" t="s">
        <v>120</v>
      </c>
      <c r="H18" s="4" t="s">
        <v>5</v>
      </c>
      <c r="I18" s="3"/>
    </row>
    <row r="19" spans="1:9" x14ac:dyDescent="0.25">
      <c r="A19" s="9" t="s">
        <v>89</v>
      </c>
      <c r="B19" s="10" t="s">
        <v>90</v>
      </c>
      <c r="C19" s="9">
        <v>4</v>
      </c>
      <c r="D19" s="9"/>
      <c r="E19" s="9"/>
      <c r="F19" s="9"/>
      <c r="G19" s="13" t="s">
        <v>121</v>
      </c>
      <c r="H19" s="4" t="s">
        <v>5</v>
      </c>
      <c r="I19" s="3"/>
    </row>
    <row r="20" spans="1:9" ht="30" x14ac:dyDescent="0.25">
      <c r="A20" s="9" t="s">
        <v>91</v>
      </c>
      <c r="B20" s="27" t="s">
        <v>92</v>
      </c>
      <c r="C20" s="9">
        <v>0</v>
      </c>
      <c r="D20" s="9"/>
      <c r="E20" s="9"/>
      <c r="F20" s="9"/>
      <c r="G20" s="13" t="s">
        <v>66</v>
      </c>
      <c r="H20" s="4" t="s">
        <v>5</v>
      </c>
      <c r="I20" s="3"/>
    </row>
    <row r="21" spans="1:9" x14ac:dyDescent="0.25">
      <c r="A21" s="9">
        <v>2.4</v>
      </c>
      <c r="B21" s="10" t="s">
        <v>78</v>
      </c>
      <c r="C21" s="9"/>
      <c r="D21" s="9"/>
      <c r="E21" s="9"/>
      <c r="F21" s="9"/>
      <c r="G21" s="13" t="s">
        <v>65</v>
      </c>
      <c r="H21" s="4" t="s">
        <v>5</v>
      </c>
      <c r="I21" s="3"/>
    </row>
    <row r="22" spans="1:9" ht="30" x14ac:dyDescent="0.25">
      <c r="A22" s="9" t="s">
        <v>93</v>
      </c>
      <c r="B22" s="27" t="s">
        <v>94</v>
      </c>
      <c r="C22" s="9">
        <v>1</v>
      </c>
      <c r="D22" s="9"/>
      <c r="E22" s="9"/>
      <c r="F22" s="9"/>
      <c r="G22" s="28" t="s">
        <v>125</v>
      </c>
      <c r="H22" s="4" t="s">
        <v>5</v>
      </c>
      <c r="I22" s="3"/>
    </row>
    <row r="23" spans="1:9" ht="30" x14ac:dyDescent="0.25">
      <c r="A23" s="9" t="s">
        <v>96</v>
      </c>
      <c r="B23" s="27" t="s">
        <v>98</v>
      </c>
      <c r="C23" s="9"/>
      <c r="D23" s="9"/>
      <c r="E23" s="9"/>
      <c r="F23" s="9"/>
      <c r="G23" s="13" t="s">
        <v>65</v>
      </c>
      <c r="H23" s="4" t="s">
        <v>5</v>
      </c>
      <c r="I23" s="3"/>
    </row>
    <row r="24" spans="1:9" ht="30" x14ac:dyDescent="0.25">
      <c r="A24" s="9" t="s">
        <v>95</v>
      </c>
      <c r="B24" s="27" t="s">
        <v>99</v>
      </c>
      <c r="C24" s="9">
        <v>0</v>
      </c>
      <c r="D24" s="9"/>
      <c r="E24" s="9"/>
      <c r="F24" s="9"/>
      <c r="G24" s="13" t="s">
        <v>65</v>
      </c>
      <c r="H24" s="4" t="s">
        <v>5</v>
      </c>
      <c r="I24" s="3"/>
    </row>
    <row r="25" spans="1:9" x14ac:dyDescent="0.25">
      <c r="A25" s="9">
        <v>2.5</v>
      </c>
      <c r="B25" s="10" t="s">
        <v>79</v>
      </c>
      <c r="C25" s="9"/>
      <c r="D25" s="9"/>
      <c r="E25" s="9"/>
      <c r="F25" s="9"/>
      <c r="G25" s="13" t="s">
        <v>126</v>
      </c>
      <c r="H25" s="4" t="s">
        <v>5</v>
      </c>
      <c r="I25" s="3"/>
    </row>
    <row r="26" spans="1:9" x14ac:dyDescent="0.25">
      <c r="A26" s="9" t="s">
        <v>100</v>
      </c>
      <c r="B26" s="10" t="s">
        <v>101</v>
      </c>
      <c r="C26" s="9">
        <v>0</v>
      </c>
      <c r="D26" s="9"/>
      <c r="E26" s="9"/>
      <c r="F26" s="9"/>
      <c r="G26" s="13" t="s">
        <v>126</v>
      </c>
      <c r="H26" s="4" t="s">
        <v>5</v>
      </c>
      <c r="I26" s="3"/>
    </row>
    <row r="27" spans="1:9" x14ac:dyDescent="0.25">
      <c r="A27" s="9" t="s">
        <v>102</v>
      </c>
      <c r="B27" s="10" t="s">
        <v>103</v>
      </c>
      <c r="C27" s="9">
        <v>0</v>
      </c>
      <c r="D27" s="9"/>
      <c r="E27" s="9"/>
      <c r="F27" s="9"/>
      <c r="G27" s="13" t="s">
        <v>126</v>
      </c>
      <c r="H27" s="4" t="s">
        <v>5</v>
      </c>
      <c r="I27" s="3"/>
    </row>
    <row r="28" spans="1:9" ht="30" x14ac:dyDescent="0.25">
      <c r="A28" s="9" t="s">
        <v>104</v>
      </c>
      <c r="B28" s="27" t="s">
        <v>105</v>
      </c>
      <c r="C28" s="9">
        <v>0</v>
      </c>
      <c r="D28" s="9"/>
      <c r="E28" s="9"/>
      <c r="F28" s="9"/>
      <c r="G28" s="13" t="s">
        <v>126</v>
      </c>
      <c r="H28" s="4" t="s">
        <v>5</v>
      </c>
      <c r="I28" s="3"/>
    </row>
    <row r="29" spans="1:9" ht="30" x14ac:dyDescent="0.25">
      <c r="A29" s="9" t="s">
        <v>106</v>
      </c>
      <c r="B29" s="27" t="s">
        <v>107</v>
      </c>
      <c r="C29" s="9">
        <v>0</v>
      </c>
      <c r="D29" s="9"/>
      <c r="E29" s="9"/>
      <c r="F29" s="9"/>
      <c r="G29" s="13" t="s">
        <v>126</v>
      </c>
      <c r="H29" s="4" t="s">
        <v>5</v>
      </c>
      <c r="I29" s="3"/>
    </row>
    <row r="30" spans="1:9" x14ac:dyDescent="0.25">
      <c r="A30" s="9">
        <v>3</v>
      </c>
      <c r="B30" s="10" t="s">
        <v>71</v>
      </c>
      <c r="C30" s="29"/>
      <c r="D30" s="9"/>
      <c r="E30" s="9"/>
      <c r="F30" s="9"/>
      <c r="G30" s="13" t="s">
        <v>123</v>
      </c>
      <c r="H30" s="4" t="s">
        <v>5</v>
      </c>
      <c r="I30" s="3"/>
    </row>
    <row r="31" spans="1:9" ht="30" x14ac:dyDescent="0.25">
      <c r="A31" s="9">
        <v>3.1</v>
      </c>
      <c r="B31" s="27" t="s">
        <v>108</v>
      </c>
      <c r="C31" s="9">
        <v>0</v>
      </c>
      <c r="D31" s="9"/>
      <c r="E31" s="9"/>
      <c r="F31" s="9"/>
      <c r="G31" s="13" t="s">
        <v>123</v>
      </c>
      <c r="H31" s="4" t="s">
        <v>5</v>
      </c>
      <c r="I31" s="3"/>
    </row>
    <row r="32" spans="1:9" ht="30" x14ac:dyDescent="0.25">
      <c r="A32" s="9">
        <v>3.2</v>
      </c>
      <c r="B32" s="27" t="s">
        <v>109</v>
      </c>
      <c r="C32" s="9">
        <v>0</v>
      </c>
      <c r="D32" s="9"/>
      <c r="E32" s="9"/>
      <c r="F32" s="9"/>
      <c r="G32" s="13" t="s">
        <v>123</v>
      </c>
      <c r="H32" s="4" t="s">
        <v>5</v>
      </c>
      <c r="I32" s="3"/>
    </row>
    <row r="33" spans="1:9" ht="30" x14ac:dyDescent="0.25">
      <c r="A33" s="9">
        <v>3.3</v>
      </c>
      <c r="B33" s="27" t="s">
        <v>110</v>
      </c>
      <c r="C33" s="9">
        <v>0</v>
      </c>
      <c r="D33" s="9"/>
      <c r="E33" s="9"/>
      <c r="F33" s="9"/>
      <c r="G33" s="13" t="s">
        <v>123</v>
      </c>
      <c r="H33" s="4" t="s">
        <v>5</v>
      </c>
      <c r="I33" s="3"/>
    </row>
    <row r="34" spans="1:9" x14ac:dyDescent="0.25">
      <c r="A34" s="9">
        <v>4</v>
      </c>
      <c r="B34" s="10" t="s">
        <v>73</v>
      </c>
      <c r="C34" s="29"/>
      <c r="D34" s="9"/>
      <c r="E34" s="9"/>
      <c r="F34" s="9"/>
      <c r="G34" s="13" t="s">
        <v>68</v>
      </c>
      <c r="H34" s="4" t="s">
        <v>5</v>
      </c>
      <c r="I34" s="3"/>
    </row>
    <row r="35" spans="1:9" ht="30" x14ac:dyDescent="0.25">
      <c r="A35" s="9">
        <v>4.0999999999999996</v>
      </c>
      <c r="B35" s="27" t="s">
        <v>111</v>
      </c>
      <c r="C35" s="9">
        <v>0</v>
      </c>
      <c r="D35" s="9"/>
      <c r="E35" s="9"/>
      <c r="F35" s="9"/>
      <c r="G35" s="13" t="s">
        <v>68</v>
      </c>
      <c r="H35" s="4" t="s">
        <v>5</v>
      </c>
      <c r="I35" s="3"/>
    </row>
    <row r="36" spans="1:9" ht="30" x14ac:dyDescent="0.25">
      <c r="A36" s="9">
        <v>4.2</v>
      </c>
      <c r="B36" s="27" t="s">
        <v>112</v>
      </c>
      <c r="C36" s="9">
        <v>0</v>
      </c>
      <c r="D36" s="9"/>
      <c r="E36" s="9"/>
      <c r="F36" s="9"/>
      <c r="G36" s="13" t="s">
        <v>68</v>
      </c>
      <c r="H36" s="4" t="s">
        <v>5</v>
      </c>
      <c r="I36" s="3"/>
    </row>
    <row r="37" spans="1:9" x14ac:dyDescent="0.25">
      <c r="A37" s="9">
        <v>5</v>
      </c>
      <c r="B37" s="10" t="s">
        <v>127</v>
      </c>
      <c r="C37" s="29"/>
      <c r="D37" s="9"/>
      <c r="E37" s="9"/>
      <c r="F37" s="9"/>
      <c r="G37" s="13" t="s">
        <v>124</v>
      </c>
      <c r="H37" s="4" t="s">
        <v>5</v>
      </c>
      <c r="I37" s="3"/>
    </row>
    <row r="38" spans="1:9" x14ac:dyDescent="0.25">
      <c r="A38" s="9">
        <v>5.0999999999999996</v>
      </c>
      <c r="B38" s="10" t="s">
        <v>77</v>
      </c>
      <c r="C38" s="9">
        <v>0</v>
      </c>
      <c r="D38" s="9"/>
      <c r="E38" s="9"/>
      <c r="F38" s="9"/>
      <c r="G38" s="13" t="s">
        <v>122</v>
      </c>
      <c r="H38" s="4" t="s">
        <v>5</v>
      </c>
      <c r="I38" s="3"/>
    </row>
    <row r="39" spans="1:9" x14ac:dyDescent="0.25">
      <c r="A39" s="9">
        <v>5.2</v>
      </c>
      <c r="B39" s="10" t="s">
        <v>113</v>
      </c>
      <c r="C39" s="9">
        <v>0</v>
      </c>
      <c r="D39" s="9"/>
      <c r="E39" s="9"/>
      <c r="F39" s="9"/>
      <c r="G39" s="13" t="s">
        <v>68</v>
      </c>
      <c r="H39" s="4" t="s">
        <v>5</v>
      </c>
      <c r="I39" s="3"/>
    </row>
    <row r="40" spans="1:9" x14ac:dyDescent="0.25">
      <c r="A40" s="9">
        <v>5.3</v>
      </c>
      <c r="B40" s="10" t="s">
        <v>72</v>
      </c>
      <c r="C40" s="9">
        <v>0</v>
      </c>
      <c r="D40" s="9"/>
      <c r="E40" s="9"/>
      <c r="F40" s="9"/>
      <c r="G40" s="13" t="s">
        <v>124</v>
      </c>
      <c r="H40" s="4" t="s">
        <v>5</v>
      </c>
      <c r="I40" s="3"/>
    </row>
    <row r="41" spans="1:9" x14ac:dyDescent="0.25">
      <c r="A41" s="5"/>
      <c r="C41" s="11">
        <v>19</v>
      </c>
      <c r="I41" s="3"/>
    </row>
    <row r="42" spans="1:9" x14ac:dyDescent="0.25">
      <c r="I42" s="3"/>
    </row>
    <row r="43" spans="1:9" x14ac:dyDescent="0.25">
      <c r="I43" s="3"/>
    </row>
    <row r="44" spans="1:9" x14ac:dyDescent="0.25">
      <c r="I44" s="3"/>
    </row>
    <row r="45" spans="1:9" x14ac:dyDescent="0.25">
      <c r="I45" s="3"/>
    </row>
    <row r="46" spans="1:9" x14ac:dyDescent="0.25">
      <c r="I46" s="3"/>
    </row>
    <row r="47" spans="1:9" x14ac:dyDescent="0.25">
      <c r="I47" s="3"/>
    </row>
    <row r="48" spans="1:9" x14ac:dyDescent="0.25">
      <c r="I48" s="3"/>
    </row>
    <row r="49" spans="9:9" x14ac:dyDescent="0.25">
      <c r="I49" s="3"/>
    </row>
    <row r="50" spans="9:9" x14ac:dyDescent="0.25">
      <c r="I50" s="3"/>
    </row>
    <row r="51" spans="9:9" x14ac:dyDescent="0.25">
      <c r="I51" s="3"/>
    </row>
    <row r="52" spans="9:9" x14ac:dyDescent="0.25">
      <c r="I52" s="3"/>
    </row>
    <row r="53" spans="9:9" x14ac:dyDescent="0.25">
      <c r="I53" s="3"/>
    </row>
    <row r="54" spans="9:9" x14ac:dyDescent="0.25">
      <c r="I54" s="3"/>
    </row>
    <row r="55" spans="9:9" x14ac:dyDescent="0.25">
      <c r="I55" s="3"/>
    </row>
    <row r="56" spans="9:9" x14ac:dyDescent="0.25">
      <c r="I56" s="3"/>
    </row>
    <row r="57" spans="9:9" x14ac:dyDescent="0.25">
      <c r="I57" s="3"/>
    </row>
  </sheetData>
  <mergeCells count="1">
    <mergeCell ref="A2:H2"/>
  </mergeCells>
  <conditionalFormatting sqref="E41:E1048576 E1 E3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1:F1048576 F1 F3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40">
    <cfRule type="colorScale" priority="33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40">
    <cfRule type="colorScale" priority="33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G41:G1048576" xr:uid="{98E94C6E-DFF0-47E0-9288-5BD238208A9D}">
      <formula1>#REF!</formula1>
    </dataValidation>
    <dataValidation type="list" allowBlank="1" showInputMessage="1" showErrorMessage="1" sqref="H4:H1048576" xr:uid="{8C304D55-C56A-4309-B633-DBEB25103BBD}">
      <formula1>"ToDo, In Progress, Complete"</formula1>
    </dataValidation>
    <dataValidation showInputMessage="1" showErrorMessage="1" sqref="I2:I57" xr:uid="{3C7B4D8F-81FB-4235-B744-B644F971F308}"/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1657350</xdr:colOff>
                    <xdr:row>0</xdr:row>
                    <xdr:rowOff>19050</xdr:rowOff>
                  </from>
                  <to>
                    <xdr:col>1</xdr:col>
                    <xdr:colOff>2352675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323850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1FC668-25F5-4B3F-A70E-8A8F66B10C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project</vt:lpstr>
      <vt:lpstr>TimeSheetReal</vt:lpstr>
      <vt:lpstr>TimeSheet</vt:lpstr>
      <vt:lpstr>PDR Task List</vt:lpstr>
      <vt:lpstr>'PDR Task List'!totalHours</vt:lpstr>
      <vt:lpstr>totalHours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2024-03-08T15:21:40Z</dcterms:modified>
</cp:coreProperties>
</file>