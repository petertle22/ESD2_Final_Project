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filterPrivacy="1" codeName="ThisWorkbook" autoCompressPictures="0"/>
  <xr:revisionPtr revIDLastSave="0" documentId="13_ncr:1_{01E291FD-51C2-46F8-AFAF-489CC22EFA37}" xr6:coauthVersionLast="47" xr6:coauthVersionMax="47" xr10:uidLastSave="{00000000-0000-0000-0000-000000000000}"/>
  <bookViews>
    <workbookView xWindow="-108" yWindow="-108" windowWidth="23256" windowHeight="12576" tabRatio="773" activeTab="7" xr2:uid="{00000000-000D-0000-FFFF-FFFF00000000}"/>
  </bookViews>
  <sheets>
    <sheet name="project" sheetId="1" r:id="rId1"/>
    <sheet name="Sheet1" sheetId="10" r:id="rId2"/>
    <sheet name="TimeSheetReal" sheetId="4" r:id="rId3"/>
    <sheet name="TimeSheet" sheetId="2" r:id="rId4"/>
    <sheet name="PDR Task List" sheetId="6" r:id="rId5"/>
    <sheet name="PDR Task List OFFICIAL" sheetId="9" r:id="rId6"/>
    <sheet name="Sheet2" sheetId="11" r:id="rId7"/>
    <sheet name="CDR Task List OFFICIAL (2)" sheetId="12" r:id="rId8"/>
  </sheets>
  <definedNames>
    <definedName name="totalHours" localSheetId="7">'CDR Task List OFFICIAL (2)'!$C$28</definedName>
    <definedName name="totalHours" localSheetId="4">'PDR Task List'!$C$43</definedName>
    <definedName name="totalHours" localSheetId="5">'PDR Task List OFFICIAL'!$C$33</definedName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K6" i="2" s="1"/>
  <c r="J26" i="2"/>
  <c r="K5" i="2" s="1"/>
  <c r="J25" i="2"/>
  <c r="J24" i="2"/>
  <c r="J23" i="2"/>
  <c r="J22" i="2"/>
  <c r="K7" i="2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7" i="4"/>
  <c r="J6" i="4"/>
  <c r="J5" i="4"/>
  <c r="J4" i="4"/>
  <c r="J3" i="4"/>
  <c r="J2" i="4"/>
  <c r="J7" i="2"/>
  <c r="J3" i="2"/>
  <c r="J4" i="2"/>
  <c r="J5" i="2"/>
  <c r="J6" i="2"/>
  <c r="J2" i="2"/>
  <c r="M3" i="4" l="1"/>
  <c r="M4" i="4"/>
  <c r="M6" i="4"/>
  <c r="M7" i="4"/>
  <c r="M2" i="4"/>
  <c r="M5" i="4"/>
  <c r="K4" i="2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<sst xmlns="http://schemas.openxmlformats.org/spreadsheetml/2006/main" count="733" uniqueCount="194">
  <si>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</si>
  <si>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</si>
  <si>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</si>
  <si>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</si>
  <si>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</si>
  <si>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</si>
  <si>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</si>
  <si>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</si>
  <si>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</si>
  <si>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</si>
  <si>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</si>
  <si>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</si>
  <si>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</si>
  <si>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</si>
  <si>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</si>
  <si>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</si>
  <si>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</si>
  <si>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</si>
  <si>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</si>
  <si>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</si>
  <si>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</si>
  <si>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</si>
  <si>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</si>
  <si>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</si>
  <si>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</si>
  <si>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</si>
  <si>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</si>
  <si>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</si>
  <si>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</si>
  <si>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</si>
  <si>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</si>
  <si>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</si>
  <si>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</si>
  <si>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</si>
  <si>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</si>
  <si>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</si>
  <si>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</si>
  <si>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</si>
  <si>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</si>
  <si>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</si>
  <si>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</si>
  <si>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</si>
  <si>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</si>
  <si>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</si>
  <si>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</si>
  <si>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</si>
  <si>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</si>
  <si>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</si>
  <si>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</si>
  <si>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</si>
  <si>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</si>
  <si>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</si>
  <si>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</si>
  <si>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</si>
  <si>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</si>
  <si>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</si>
  <si>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</si>
  <si>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</si>
  <si>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</si>
  <si>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</si>
  <si>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</si>
  <si>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</si>
  <si>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</si>
  <si>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</si>
  <si>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</si>
  <si>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</si>
  <si>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</si>
  <si>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</si>
  <si>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</si>
  <si>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</si>
  <si>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</si>
  <si>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</si>
  <si>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</si>
  <si>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</si>
  <si>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</si>
  <si>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</si>
  <si>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</si>
  <si>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</si>
  <si>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</si>
  <si>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</si>
  <si>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</si>
  <si>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</si>
  <si>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</si>
  <si>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</si>
  <si>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</si>
  <si>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</si>
  <si>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</si>
  <si>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</si>
  <si>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</si>
  <si>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</si>
  <si>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</si>
  <si>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</si>
  <si>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</si>
  <si>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</si>
  <si>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</si>
  <si>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</si>
  <si>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</si>
  <si>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</si>
  <si>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</si>
  <si>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</si>
  <si>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</si>
  <si>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</si>
  <si>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</si>
  <si>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</si>
  <si>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</si>
  <si>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</si>
  <si>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</si>
  <si>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</si>
  <si>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</si>
  <si>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</si>
  <si>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</si>
  <si>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</si>
  <si>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</si>
  <si>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</si>
  <si>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</si>
  <si>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</si>
  <si>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</si>
  <si>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</si>
  <si>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</si>
  <si>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</si>
  <si>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</si>
  <si>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</si>
  <si>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</si>
  <si>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</si>
  <si>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</si>
  <si>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</si>
  <si>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</si>
  <si>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</si>
  <si>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</si>
  <si>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</si>
  <si>
    <t>Project Overview Slide</t>
  </si>
  <si>
    <t>HW Specs</t>
  </si>
  <si>
    <t>High Level Block Diagram</t>
  </si>
  <si>
    <t>GUI Mock</t>
  </si>
  <si>
    <t>Image Processing Flow</t>
  </si>
  <si>
    <t>XYZ Position Transform</t>
  </si>
  <si>
    <t>Determine Risks</t>
  </si>
  <si>
    <t>PDR Hours Review</t>
  </si>
  <si>
    <t>CDR Task List/Estimation</t>
  </si>
  <si>
    <t>Design Nonfunctional Panel</t>
  </si>
  <si>
    <t xml:space="preserve">Determine Features </t>
  </si>
  <si>
    <t>Group Approval/Review</t>
  </si>
  <si>
    <t>Image Resolution/Colorspace</t>
  </si>
  <si>
    <t>5.1.1</t>
  </si>
  <si>
    <t>Investigate if VGA works at worst case</t>
  </si>
  <si>
    <t>5.1.2</t>
  </si>
  <si>
    <t>Investigate if Grayscale works at worst case</t>
  </si>
  <si>
    <t>Centroid Detection Algo</t>
  </si>
  <si>
    <t>5.2.1</t>
  </si>
  <si>
    <t>Investigate Sobel Filter Output Quality</t>
  </si>
  <si>
    <t>5.2.2</t>
  </si>
  <si>
    <t>Investigate Noise Reduction Techniques</t>
  </si>
  <si>
    <t>5.2.3</t>
  </si>
  <si>
    <t>Investigate Background Subtraction Accuracy/Quality</t>
  </si>
  <si>
    <t>5.3.1</t>
  </si>
  <si>
    <t>Create Simple OpenCV centroid detection</t>
  </si>
  <si>
    <t>Simulation Demo/Results</t>
  </si>
  <si>
    <t>Determine XYZ Coordinate Plane</t>
  </si>
  <si>
    <t>Create XYZ Calculation from Pixel coordinate to XYZ Position</t>
  </si>
  <si>
    <t>Create Sample ball position Images (UNITY)</t>
  </si>
  <si>
    <t>Show simulation real vs calculated XYZ</t>
  </si>
  <si>
    <t xml:space="preserve">Plan for XYZ position -&gt; Velocity/position over t. How will In/Out be determined based on this </t>
  </si>
  <si>
    <t>Determine possible flaws in process</t>
  </si>
  <si>
    <t>Propose possible solutions if problems</t>
  </si>
  <si>
    <t>Complete</t>
  </si>
  <si>
    <t>Cole/Jake</t>
  </si>
  <si>
    <t>Chris/Sharon</t>
  </si>
  <si>
    <t>SpringBreak</t>
  </si>
  <si>
    <t>FPGA</t>
  </si>
  <si>
    <t>MATLAB</t>
  </si>
  <si>
    <t>Algorithms</t>
  </si>
  <si>
    <t>Communications</t>
  </si>
  <si>
    <t>Business</t>
  </si>
  <si>
    <t>Testing</t>
  </si>
  <si>
    <t>MATLAB-UNITY link for object movement</t>
  </si>
  <si>
    <t>MATLAB-UNITY simulate ball serve</t>
  </si>
  <si>
    <t>GUI-Unity Instant replay investigation</t>
  </si>
  <si>
    <t>Develop FPGA</t>
  </si>
  <si>
    <t>Develop LED lighting</t>
  </si>
  <si>
    <t>Port Map FPGA to peripherals</t>
  </si>
  <si>
    <t xml:space="preserve">Handshakes </t>
  </si>
  <si>
    <t>Simulate Serves/Volleys</t>
  </si>
  <si>
    <t xml:space="preserve">Scaffold GUI </t>
  </si>
  <si>
    <t>Integrate GUI with rest of system</t>
  </si>
  <si>
    <t>Tennis Ball Centroid Detection</t>
  </si>
  <si>
    <t>Reverse engineer movement equation</t>
  </si>
  <si>
    <t>Determine coefficient of restitution</t>
  </si>
  <si>
    <t>Investigate TCP link</t>
  </si>
  <si>
    <t>Investigate FPGA-VDMA-uP</t>
  </si>
  <si>
    <t>Caculate hours for CDR/burn-rate</t>
  </si>
  <si>
    <t>Peter/Sharon</t>
  </si>
  <si>
    <t>Sharon/Peter</t>
  </si>
  <si>
    <t>Jake/Sharon</t>
  </si>
  <si>
    <t>Jacky/Peter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</si>
</sst>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wrapText="1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SpringBreak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10" activePane="bottomLeft" state="frozen"/>
      <selection pane="bottomLeft" activeCell="B23" sqref="B23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2" t="s">
        <v>4</v>
      </c>
      <c r="B2" s="33"/>
      <c r="C2" s="33"/>
      <c r="D2" s="33"/>
      <c r="E2" s="33"/>
      <c r="F2" s="33"/>
      <c r="G2" s="33"/>
      <c r="H2" s="33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3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3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3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3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3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3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3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3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3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6191A-0D10-4180-8341-E415CC41130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workbookViewId="0">
      <selection activeCell="A19" sqref="A19"/>
    </sheetView>
  </sheetViews>
  <sheetFormatPr defaultRowHeight="14.4" x14ac:dyDescent="0.3"/>
  <cols>
    <col min="1" max="1" width="11.6640625" bestFit="1" customWidth="1"/>
    <col min="3" max="4" width="10.33203125" bestFit="1" customWidth="1"/>
    <col min="5" max="6" width="11" bestFit="1" customWidth="1"/>
    <col min="7" max="7" width="8.33203125" bestFit="1" customWidth="1"/>
    <col min="8" max="8" width="10.6640625" bestFit="1" customWidth="1"/>
    <col min="9" max="9" width="9.5546875" bestFit="1" customWidth="1"/>
    <col min="10" max="10" width="12.88671875" bestFit="1" customWidth="1"/>
    <col min="14" max="15" width="10.33203125" bestFit="1" customWidth="1"/>
    <col min="16" max="16" width="11" bestFit="1" customWidth="1"/>
    <col min="18" max="18" width="8.33203125" bestFit="1" customWidth="1"/>
    <col min="19" max="19" width="10.6640625" bestFit="1" customWidth="1"/>
    <col min="20" max="20" width="9.5546875" bestFit="1" customWidth="1"/>
    <col min="21" max="21" width="12.88671875" bestFit="1" customWidth="1"/>
  </cols>
  <sheetData>
    <row r="1" spans="1:21" x14ac:dyDescent="0.3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3">
      <c r="A2" s="14"/>
      <c r="B2" s="14" t="s">
        <v>51</v>
      </c>
      <c r="C2">
        <v>1</v>
      </c>
      <c r="E2">
        <v>1</v>
      </c>
      <c r="I2">
        <v>2</v>
      </c>
      <c r="J2">
        <f>Table14[[#This Row],[Monday]]+Table14[[#This Row],[Tuesday]]+Table14[[#This Row],[Wensday]]+Table14[[#This Row],[Thrusday]]+Table14[[#This Row],[Friday]]+Table14[[#This Row],[Saturday]]+Table14[[#This Row],[Sunday]]</f>
        <v>4</v>
      </c>
      <c r="L2" s="22" t="s">
        <v>51</v>
      </c>
      <c r="M2" s="18">
        <f>Table14[[#This Row],[WeekHours]]+J10+J18+J26+J34+J42+U18+U26+U34+U42</f>
        <v>11</v>
      </c>
    </row>
    <row r="3" spans="1:21" x14ac:dyDescent="0.3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13</v>
      </c>
    </row>
    <row r="4" spans="1:21" x14ac:dyDescent="0.3">
      <c r="B4" t="s">
        <v>53</v>
      </c>
      <c r="C4">
        <v>2</v>
      </c>
      <c r="E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4</v>
      </c>
      <c r="L4" s="17" t="s">
        <v>53</v>
      </c>
      <c r="M4" s="18">
        <f>Table14[[#This Row],[WeekHours]]+J12+J20+J28+J36+J44+U12+U20+U28+U36+U44</f>
        <v>18</v>
      </c>
    </row>
    <row r="5" spans="1:21" x14ac:dyDescent="0.3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8</v>
      </c>
    </row>
    <row r="6" spans="1:21" x14ac:dyDescent="0.3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5.5</v>
      </c>
    </row>
    <row r="7" spans="1:21" x14ac:dyDescent="0.3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2</v>
      </c>
    </row>
    <row r="9" spans="1:21" x14ac:dyDescent="0.3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3">
      <c r="A10" s="14"/>
      <c r="B10" s="14" t="s">
        <v>51</v>
      </c>
      <c r="C10">
        <v>1</v>
      </c>
      <c r="E10">
        <v>1</v>
      </c>
      <c r="I10">
        <v>3</v>
      </c>
      <c r="J10">
        <v>5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3">
      <c r="B11" t="s">
        <v>52</v>
      </c>
      <c r="C11">
        <v>2</v>
      </c>
      <c r="E11">
        <v>2</v>
      </c>
      <c r="J11">
        <v>4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3">
      <c r="B12" t="s">
        <v>53</v>
      </c>
      <c r="C12">
        <v>2</v>
      </c>
      <c r="E12">
        <v>2</v>
      </c>
      <c r="G12">
        <v>2</v>
      </c>
      <c r="I12">
        <v>2</v>
      </c>
      <c r="J12">
        <v>8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3">
      <c r="B13" t="s">
        <v>65</v>
      </c>
      <c r="C13">
        <v>2</v>
      </c>
      <c r="J13">
        <v>2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3">
      <c r="B14" t="s">
        <v>66</v>
      </c>
      <c r="E14">
        <v>2</v>
      </c>
      <c r="J14">
        <v>2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3">
      <c r="B15" t="s">
        <v>67</v>
      </c>
      <c r="C15">
        <v>1</v>
      </c>
      <c r="J15">
        <v>1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3">
      <c r="A17" s="20" t="s">
        <v>167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3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3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3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3">
      <c r="B21" t="s">
        <v>65</v>
      </c>
      <c r="I21">
        <v>1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1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3">
      <c r="B22" t="s">
        <v>66</v>
      </c>
      <c r="I22">
        <v>1.5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1.5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3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3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3">
      <c r="A26" s="14"/>
      <c r="B26" s="14" t="s">
        <v>51</v>
      </c>
      <c r="C26">
        <v>1</v>
      </c>
      <c r="F26">
        <v>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2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3">
      <c r="B27" t="s">
        <v>52</v>
      </c>
      <c r="C27">
        <v>1</v>
      </c>
      <c r="I27">
        <v>4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5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3">
      <c r="B28" t="s">
        <v>53</v>
      </c>
      <c r="C28">
        <v>0</v>
      </c>
      <c r="I28">
        <v>6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6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3">
      <c r="B29" t="s">
        <v>65</v>
      </c>
      <c r="C29">
        <v>1</v>
      </c>
      <c r="H29">
        <v>2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3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3">
      <c r="B30" t="s">
        <v>66</v>
      </c>
      <c r="C30">
        <v>0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3">
      <c r="B31" t="s">
        <v>67</v>
      </c>
      <c r="C31">
        <v>0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3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3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3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3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3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3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3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3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3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3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3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3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3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3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topLeftCell="A34" workbookViewId="0">
      <selection activeCell="J22" sqref="J22"/>
    </sheetView>
  </sheetViews>
  <sheetFormatPr defaultRowHeight="14.4" x14ac:dyDescent="0.3"/>
  <cols>
    <col min="1" max="1" width="11.6640625" bestFit="1" customWidth="1"/>
    <col min="2" max="8" width="10.109375" customWidth="1"/>
    <col min="9" max="9" width="12.88671875" bestFit="1" customWidth="1"/>
    <col min="10" max="10" width="16.44140625" customWidth="1"/>
    <col min="21" max="21" width="10.6640625" bestFit="1" customWidth="1"/>
  </cols>
  <sheetData>
    <row r="1" spans="1:11" x14ac:dyDescent="0.3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3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3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3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3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3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3">
      <c r="A10" t="s">
        <v>54</v>
      </c>
    </row>
    <row r="11" spans="1:11" x14ac:dyDescent="0.3">
      <c r="A11" t="s">
        <v>55</v>
      </c>
    </row>
    <row r="12" spans="1:11" x14ac:dyDescent="0.3">
      <c r="A12" t="s">
        <v>56</v>
      </c>
    </row>
    <row r="13" spans="1:11" x14ac:dyDescent="0.3">
      <c r="A13" t="s">
        <v>57</v>
      </c>
    </row>
    <row r="14" spans="1:11" x14ac:dyDescent="0.3">
      <c r="A14" t="s">
        <v>58</v>
      </c>
    </row>
    <row r="15" spans="1:11" x14ac:dyDescent="0.3">
      <c r="A15" t="s">
        <v>59</v>
      </c>
    </row>
    <row r="16" spans="1:11" x14ac:dyDescent="0.3">
      <c r="A16" t="s">
        <v>60</v>
      </c>
    </row>
    <row r="17" spans="1:21" x14ac:dyDescent="0.3">
      <c r="A17" t="s">
        <v>61</v>
      </c>
    </row>
    <row r="18" spans="1:21" x14ac:dyDescent="0.3">
      <c r="A18" t="s">
        <v>62</v>
      </c>
    </row>
    <row r="19" spans="1:21" x14ac:dyDescent="0.3">
      <c r="A19" t="s">
        <v>63</v>
      </c>
    </row>
    <row r="21" spans="1:21" x14ac:dyDescent="0.3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3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3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3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3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3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3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3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3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3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3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3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3">
      <c r="B35" s="17" t="s">
        <v>67</v>
      </c>
      <c r="M35" s="17" t="s">
        <v>67</v>
      </c>
    </row>
    <row r="36" spans="1:21" x14ac:dyDescent="0.3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3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3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3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3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3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3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3">
      <c r="B43" s="17" t="s">
        <v>67</v>
      </c>
      <c r="M43" s="17" t="s">
        <v>67</v>
      </c>
    </row>
    <row r="45" spans="1:21" x14ac:dyDescent="0.3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3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3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3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3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3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3">
      <c r="B51" s="17" t="s">
        <v>67</v>
      </c>
      <c r="M51" s="17" t="s">
        <v>67</v>
      </c>
    </row>
    <row r="53" spans="1:21" x14ac:dyDescent="0.3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3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3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3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3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3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3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zoomScale="130" zoomScaleNormal="130" zoomScalePageLayoutView="130" workbookViewId="0">
      <pane ySplit="3" topLeftCell="A19" activePane="bottomLeft" state="frozen"/>
      <selection pane="bottomLeft" activeCell="B23" sqref="B23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2" t="s">
        <v>4</v>
      </c>
      <c r="B2" s="33"/>
      <c r="C2" s="33"/>
      <c r="D2" s="33"/>
      <c r="E2" s="33"/>
      <c r="F2" s="33"/>
      <c r="G2" s="33"/>
      <c r="H2" s="33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3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3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x14ac:dyDescent="0.3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28.8" x14ac:dyDescent="0.3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28.8" x14ac:dyDescent="0.3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3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3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3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3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3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3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3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28.8" x14ac:dyDescent="0.3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3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3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28.8" x14ac:dyDescent="0.3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3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28.8" x14ac:dyDescent="0.3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28.8" x14ac:dyDescent="0.3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x14ac:dyDescent="0.3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3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3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3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28.8" x14ac:dyDescent="0.3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28.8" x14ac:dyDescent="0.3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3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28.8" x14ac:dyDescent="0.3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28.8" x14ac:dyDescent="0.3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28.8" x14ac:dyDescent="0.3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3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28.8" x14ac:dyDescent="0.3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28.8" x14ac:dyDescent="0.3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3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3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3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3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3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3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3">
      <c r="A43" s="5"/>
      <c r="C43" s="11">
        <v>19</v>
      </c>
      <c r="I43" s="3"/>
    </row>
    <row r="44" spans="1:9" x14ac:dyDescent="0.3">
      <c r="I44" s="3"/>
    </row>
    <row r="45" spans="1:9" x14ac:dyDescent="0.3">
      <c r="I45" s="3"/>
    </row>
    <row r="46" spans="1:9" x14ac:dyDescent="0.3">
      <c r="A46" s="3"/>
      <c r="C46"/>
      <c r="D46"/>
      <c r="E46"/>
      <c r="F46"/>
      <c r="G46"/>
      <c r="H46"/>
      <c r="I46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0DA5-D75E-4B25-9A77-83C82CC7B8C1}">
  <sheetPr codeName="Sheet5">
    <pageSetUpPr fitToPage="1"/>
  </sheetPr>
  <dimension ref="A2:I88"/>
  <sheetViews>
    <sheetView zoomScale="130" zoomScaleNormal="130" zoomScalePageLayoutView="130" workbookViewId="0">
      <pane ySplit="3" topLeftCell="A4" activePane="bottomLeft" state="frozen"/>
      <selection pane="bottomLeft" activeCell="H23" sqref="H23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2.44140625" style="2" bestFit="1" customWidth="1"/>
    <col min="8" max="8" width="9" style="2" customWidth="1"/>
    <col min="9" max="9" width="10.33203125" style="2" customWidth="1"/>
  </cols>
  <sheetData>
    <row r="2" spans="1:9" x14ac:dyDescent="0.3">
      <c r="A2" s="32" t="s">
        <v>4</v>
      </c>
      <c r="B2" s="33"/>
      <c r="C2" s="33"/>
      <c r="D2" s="33"/>
      <c r="E2" s="33"/>
      <c r="F2" s="33"/>
      <c r="G2" s="33"/>
      <c r="H2" s="33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130</v>
      </c>
      <c r="C4" s="9">
        <v>0.5</v>
      </c>
      <c r="D4" s="9"/>
      <c r="E4" s="9">
        <v>0</v>
      </c>
      <c r="F4" s="9">
        <v>0</v>
      </c>
      <c r="G4" s="13" t="s">
        <v>165</v>
      </c>
      <c r="H4" s="4" t="s">
        <v>5</v>
      </c>
      <c r="I4" s="3"/>
    </row>
    <row r="5" spans="1:9" x14ac:dyDescent="0.3">
      <c r="A5" s="9">
        <v>2</v>
      </c>
      <c r="B5" s="10" t="s">
        <v>131</v>
      </c>
      <c r="C5" s="9">
        <v>0.5</v>
      </c>
      <c r="D5" s="9"/>
      <c r="E5" s="9">
        <v>0</v>
      </c>
      <c r="F5" s="9">
        <v>0</v>
      </c>
      <c r="G5" s="13" t="s">
        <v>66</v>
      </c>
      <c r="H5" s="4" t="s">
        <v>5</v>
      </c>
      <c r="I5" s="3"/>
    </row>
    <row r="6" spans="1:9" x14ac:dyDescent="0.3">
      <c r="A6" s="9">
        <v>3</v>
      </c>
      <c r="B6" s="10" t="s">
        <v>132</v>
      </c>
      <c r="C6" s="9">
        <v>2</v>
      </c>
      <c r="D6" s="9"/>
      <c r="E6" s="9">
        <v>0</v>
      </c>
      <c r="F6" s="9">
        <v>3</v>
      </c>
      <c r="G6" s="13" t="s">
        <v>121</v>
      </c>
      <c r="H6" s="4" t="s">
        <v>5</v>
      </c>
      <c r="I6" s="3"/>
    </row>
    <row r="7" spans="1:9" x14ac:dyDescent="0.3">
      <c r="A7" s="9">
        <v>4</v>
      </c>
      <c r="B7" s="10" t="s">
        <v>133</v>
      </c>
      <c r="C7" s="9"/>
      <c r="D7" s="9"/>
      <c r="E7" s="9"/>
      <c r="F7" s="9"/>
      <c r="G7" s="13"/>
      <c r="H7" s="4" t="s">
        <v>5</v>
      </c>
      <c r="I7" s="3"/>
    </row>
    <row r="8" spans="1:9" x14ac:dyDescent="0.3">
      <c r="A8" s="9">
        <v>4.0999999999999996</v>
      </c>
      <c r="B8" s="10" t="s">
        <v>139</v>
      </c>
      <c r="C8" s="9">
        <v>3</v>
      </c>
      <c r="D8" s="9"/>
      <c r="E8" s="9">
        <v>1</v>
      </c>
      <c r="F8" s="9">
        <v>1</v>
      </c>
      <c r="G8" s="13" t="s">
        <v>65</v>
      </c>
      <c r="H8" s="4" t="s">
        <v>5</v>
      </c>
      <c r="I8" s="3"/>
    </row>
    <row r="9" spans="1:9" x14ac:dyDescent="0.3">
      <c r="A9" s="9">
        <v>4.2</v>
      </c>
      <c r="B9" s="10" t="s">
        <v>140</v>
      </c>
      <c r="C9" s="9">
        <v>1</v>
      </c>
      <c r="D9" s="9"/>
      <c r="E9" s="9">
        <v>1</v>
      </c>
      <c r="F9" s="9">
        <v>1</v>
      </c>
      <c r="G9" s="13" t="s">
        <v>65</v>
      </c>
      <c r="H9" s="4" t="s">
        <v>5</v>
      </c>
      <c r="I9" s="3"/>
    </row>
    <row r="10" spans="1:9" x14ac:dyDescent="0.3">
      <c r="A10" s="9">
        <v>4.3</v>
      </c>
      <c r="B10" s="10" t="s">
        <v>141</v>
      </c>
      <c r="C10" s="9">
        <v>1</v>
      </c>
      <c r="D10" s="9"/>
      <c r="E10" s="9">
        <v>1</v>
      </c>
      <c r="F10" s="9">
        <v>0</v>
      </c>
      <c r="G10" s="13" t="s">
        <v>124</v>
      </c>
      <c r="H10" s="4" t="s">
        <v>5</v>
      </c>
      <c r="I10" s="3"/>
    </row>
    <row r="11" spans="1:9" x14ac:dyDescent="0.3">
      <c r="A11" s="9">
        <v>5</v>
      </c>
      <c r="B11" s="10" t="s">
        <v>134</v>
      </c>
      <c r="C11" s="9"/>
      <c r="D11" s="9"/>
      <c r="E11" s="9"/>
      <c r="F11" s="9"/>
      <c r="G11" s="13"/>
      <c r="H11" s="4" t="s">
        <v>5</v>
      </c>
      <c r="I11" s="3"/>
    </row>
    <row r="12" spans="1:9" x14ac:dyDescent="0.3">
      <c r="A12" s="28">
        <v>5.0999999999999996</v>
      </c>
      <c r="B12" s="29" t="s">
        <v>142</v>
      </c>
      <c r="C12" s="28"/>
      <c r="D12" s="28"/>
      <c r="E12" s="28"/>
      <c r="F12" s="28"/>
      <c r="G12" s="30"/>
      <c r="H12" s="4" t="s">
        <v>164</v>
      </c>
      <c r="I12" s="3"/>
    </row>
    <row r="13" spans="1:9" x14ac:dyDescent="0.3">
      <c r="A13" s="28" t="s">
        <v>143</v>
      </c>
      <c r="B13" s="29" t="s">
        <v>144</v>
      </c>
      <c r="C13" s="28">
        <v>1</v>
      </c>
      <c r="D13" s="28">
        <v>1</v>
      </c>
      <c r="E13" s="28"/>
      <c r="F13" s="28"/>
      <c r="G13" s="30" t="s">
        <v>53</v>
      </c>
      <c r="H13" s="4" t="s">
        <v>164</v>
      </c>
      <c r="I13" s="3"/>
    </row>
    <row r="14" spans="1:9" x14ac:dyDescent="0.3">
      <c r="A14" s="28" t="s">
        <v>145</v>
      </c>
      <c r="B14" s="29" t="s">
        <v>146</v>
      </c>
      <c r="C14" s="28">
        <v>1</v>
      </c>
      <c r="D14" s="28">
        <v>1</v>
      </c>
      <c r="E14" s="28"/>
      <c r="F14" s="28"/>
      <c r="G14" s="30" t="s">
        <v>53</v>
      </c>
      <c r="H14" s="4" t="s">
        <v>164</v>
      </c>
      <c r="I14" s="3"/>
    </row>
    <row r="15" spans="1:9" x14ac:dyDescent="0.3">
      <c r="A15" s="9">
        <v>5.2</v>
      </c>
      <c r="B15" s="10" t="s">
        <v>75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3">
      <c r="A16" s="9" t="s">
        <v>148</v>
      </c>
      <c r="B16" s="10" t="s">
        <v>149</v>
      </c>
      <c r="C16" s="9">
        <v>2</v>
      </c>
      <c r="D16" s="9"/>
      <c r="E16" s="9">
        <v>1</v>
      </c>
      <c r="F16" s="9">
        <v>2</v>
      </c>
      <c r="G16" s="13" t="s">
        <v>123</v>
      </c>
      <c r="H16" s="4" t="s">
        <v>5</v>
      </c>
      <c r="I16" s="3"/>
    </row>
    <row r="17" spans="1:9" x14ac:dyDescent="0.3">
      <c r="A17" s="9" t="s">
        <v>150</v>
      </c>
      <c r="B17" s="10" t="s">
        <v>151</v>
      </c>
      <c r="C17" s="9">
        <v>3</v>
      </c>
      <c r="D17" s="9"/>
      <c r="E17" s="9">
        <v>3</v>
      </c>
      <c r="F17" s="9">
        <v>2</v>
      </c>
      <c r="G17" s="13" t="s">
        <v>123</v>
      </c>
      <c r="H17" s="4" t="s">
        <v>5</v>
      </c>
      <c r="I17" s="3"/>
    </row>
    <row r="18" spans="1:9" x14ac:dyDescent="0.3">
      <c r="A18" s="9" t="s">
        <v>152</v>
      </c>
      <c r="B18" s="10" t="s">
        <v>153</v>
      </c>
      <c r="C18" s="9">
        <v>2</v>
      </c>
      <c r="D18" s="9"/>
      <c r="E18" s="9">
        <v>1</v>
      </c>
      <c r="F18" s="9">
        <v>2</v>
      </c>
      <c r="G18" s="13" t="s">
        <v>123</v>
      </c>
      <c r="H18" s="4" t="s">
        <v>5</v>
      </c>
      <c r="I18" s="3"/>
    </row>
    <row r="19" spans="1:9" x14ac:dyDescent="0.3">
      <c r="A19" s="9">
        <v>5.3</v>
      </c>
      <c r="B19" s="10" t="s">
        <v>147</v>
      </c>
      <c r="C19" s="9"/>
      <c r="D19" s="9"/>
      <c r="E19" s="9"/>
      <c r="F19" s="9"/>
      <c r="G19" s="13"/>
      <c r="H19" s="4" t="s">
        <v>5</v>
      </c>
      <c r="I19" s="3"/>
    </row>
    <row r="20" spans="1:9" x14ac:dyDescent="0.3">
      <c r="A20" s="9" t="s">
        <v>154</v>
      </c>
      <c r="B20" s="10" t="s">
        <v>155</v>
      </c>
      <c r="C20" s="9">
        <v>8</v>
      </c>
      <c r="D20" s="9"/>
      <c r="E20" s="9">
        <v>3</v>
      </c>
      <c r="F20" s="9">
        <v>2</v>
      </c>
      <c r="G20" s="13" t="s">
        <v>121</v>
      </c>
      <c r="H20" s="4" t="s">
        <v>5</v>
      </c>
      <c r="I20" s="3"/>
    </row>
    <row r="21" spans="1:9" x14ac:dyDescent="0.3">
      <c r="A21" s="9">
        <v>6</v>
      </c>
      <c r="B21" s="10" t="s">
        <v>135</v>
      </c>
      <c r="C21" s="9"/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6.1</v>
      </c>
      <c r="B22" s="10" t="s">
        <v>157</v>
      </c>
      <c r="C22" s="9">
        <v>3</v>
      </c>
      <c r="D22" s="9"/>
      <c r="E22" s="9">
        <v>1</v>
      </c>
      <c r="F22" s="9">
        <v>3</v>
      </c>
      <c r="G22" s="13" t="s">
        <v>124</v>
      </c>
      <c r="H22" s="4" t="s">
        <v>5</v>
      </c>
      <c r="I22" s="3"/>
    </row>
    <row r="23" spans="1:9" ht="28.8" x14ac:dyDescent="0.3">
      <c r="A23" s="28">
        <v>6.2</v>
      </c>
      <c r="B23" s="31" t="s">
        <v>158</v>
      </c>
      <c r="C23" s="28">
        <v>5</v>
      </c>
      <c r="D23" s="28"/>
      <c r="E23" s="28">
        <v>3</v>
      </c>
      <c r="F23" s="28">
        <v>2</v>
      </c>
      <c r="G23" s="30" t="s">
        <v>53</v>
      </c>
      <c r="H23" s="4" t="s">
        <v>164</v>
      </c>
      <c r="I23" s="3"/>
    </row>
    <row r="24" spans="1:9" x14ac:dyDescent="0.3">
      <c r="A24" s="9">
        <v>7</v>
      </c>
      <c r="B24" s="10" t="s">
        <v>156</v>
      </c>
      <c r="C24" s="9"/>
      <c r="D24" s="9"/>
      <c r="E24" s="9"/>
      <c r="F24" s="9"/>
      <c r="G24" s="13"/>
      <c r="H24" s="4" t="s">
        <v>5</v>
      </c>
      <c r="I24" s="3"/>
    </row>
    <row r="25" spans="1:9" x14ac:dyDescent="0.3">
      <c r="A25" s="28">
        <v>7.1</v>
      </c>
      <c r="B25" s="29" t="s">
        <v>159</v>
      </c>
      <c r="C25" s="28">
        <v>2</v>
      </c>
      <c r="D25" s="28">
        <v>2.5</v>
      </c>
      <c r="E25" s="28">
        <v>1</v>
      </c>
      <c r="F25" s="28">
        <v>3</v>
      </c>
      <c r="G25" s="30" t="s">
        <v>53</v>
      </c>
      <c r="H25" s="4" t="s">
        <v>164</v>
      </c>
      <c r="I25" s="3"/>
    </row>
    <row r="26" spans="1:9" x14ac:dyDescent="0.3">
      <c r="A26" s="9">
        <v>7.2</v>
      </c>
      <c r="B26" s="10" t="s">
        <v>160</v>
      </c>
      <c r="C26" s="9">
        <v>10</v>
      </c>
      <c r="D26" s="9"/>
      <c r="E26" s="9">
        <v>2</v>
      </c>
      <c r="F26" s="9">
        <v>2</v>
      </c>
      <c r="G26" s="13" t="s">
        <v>123</v>
      </c>
      <c r="H26" s="4" t="s">
        <v>5</v>
      </c>
      <c r="I26" s="3"/>
    </row>
    <row r="27" spans="1:9" ht="28.8" x14ac:dyDescent="0.3">
      <c r="A27" s="9">
        <v>7.3</v>
      </c>
      <c r="B27" s="25" t="s">
        <v>161</v>
      </c>
      <c r="C27" s="9">
        <v>8</v>
      </c>
      <c r="D27" s="9"/>
      <c r="E27" s="9">
        <v>3</v>
      </c>
      <c r="F27" s="9">
        <v>1</v>
      </c>
      <c r="G27" s="13" t="s">
        <v>124</v>
      </c>
      <c r="H27" s="4" t="s">
        <v>5</v>
      </c>
      <c r="I27" s="3"/>
    </row>
    <row r="28" spans="1:9" x14ac:dyDescent="0.3">
      <c r="A28" s="9">
        <v>8</v>
      </c>
      <c r="B28" s="10" t="s">
        <v>136</v>
      </c>
      <c r="C28" s="9"/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8.1</v>
      </c>
      <c r="B29" s="10" t="s">
        <v>162</v>
      </c>
      <c r="C29" s="9">
        <v>3</v>
      </c>
      <c r="D29" s="9"/>
      <c r="E29" s="9">
        <v>0</v>
      </c>
      <c r="F29" s="9">
        <v>0</v>
      </c>
      <c r="G29" s="13" t="s">
        <v>124</v>
      </c>
      <c r="H29" s="4" t="s">
        <v>5</v>
      </c>
      <c r="I29" s="3"/>
    </row>
    <row r="30" spans="1:9" x14ac:dyDescent="0.3">
      <c r="A30" s="9">
        <v>8.1999999999999993</v>
      </c>
      <c r="B30" s="10" t="s">
        <v>163</v>
      </c>
      <c r="C30" s="9">
        <v>3</v>
      </c>
      <c r="D30" s="9"/>
      <c r="E30" s="9">
        <v>2</v>
      </c>
      <c r="F30" s="9">
        <v>0</v>
      </c>
      <c r="G30" s="13" t="s">
        <v>124</v>
      </c>
      <c r="H30" s="4" t="s">
        <v>5</v>
      </c>
      <c r="I30" s="3"/>
    </row>
    <row r="31" spans="1:9" x14ac:dyDescent="0.3">
      <c r="A31" s="9">
        <v>9</v>
      </c>
      <c r="B31" s="10" t="s">
        <v>137</v>
      </c>
      <c r="C31" s="9">
        <v>2</v>
      </c>
      <c r="D31" s="9"/>
      <c r="E31" s="9">
        <v>0</v>
      </c>
      <c r="F31" s="9">
        <v>0</v>
      </c>
      <c r="G31" s="13" t="s">
        <v>166</v>
      </c>
      <c r="H31" s="4" t="s">
        <v>5</v>
      </c>
      <c r="I31" s="3"/>
    </row>
    <row r="32" spans="1:9" x14ac:dyDescent="0.3">
      <c r="A32" s="9">
        <v>10</v>
      </c>
      <c r="B32" s="10" t="s">
        <v>138</v>
      </c>
      <c r="C32" s="9">
        <v>4</v>
      </c>
      <c r="D32" s="9"/>
      <c r="E32" s="9">
        <v>0</v>
      </c>
      <c r="F32" s="9">
        <v>0</v>
      </c>
      <c r="G32" s="13" t="s">
        <v>124</v>
      </c>
      <c r="H32" s="4" t="s">
        <v>5</v>
      </c>
      <c r="I32" s="3"/>
    </row>
    <row r="33" spans="1:9" x14ac:dyDescent="0.3">
      <c r="A33" s="5"/>
      <c r="C33" s="11">
        <v>56</v>
      </c>
      <c r="I33" s="3"/>
    </row>
    <row r="34" spans="1:9" x14ac:dyDescent="0.3">
      <c r="I34" s="3"/>
    </row>
    <row r="35" spans="1:9" x14ac:dyDescent="0.3">
      <c r="I35" s="3"/>
    </row>
    <row r="36" spans="1:9" x14ac:dyDescent="0.3">
      <c r="A36" s="3"/>
      <c r="C36"/>
      <c r="D36"/>
      <c r="E36"/>
      <c r="F36"/>
      <c r="G36"/>
      <c r="H36"/>
      <c r="I36" s="3"/>
    </row>
    <row r="37" spans="1:9" x14ac:dyDescent="0.3">
      <c r="I37" s="3"/>
    </row>
    <row r="38" spans="1:9" x14ac:dyDescent="0.3">
      <c r="I38" s="3"/>
    </row>
    <row r="39" spans="1:9" x14ac:dyDescent="0.3">
      <c r="I39" s="3"/>
    </row>
    <row r="40" spans="1:9" x14ac:dyDescent="0.3">
      <c r="I40" s="3"/>
    </row>
    <row r="41" spans="1:9" x14ac:dyDescent="0.3">
      <c r="I41" s="3"/>
    </row>
    <row r="42" spans="1:9" x14ac:dyDescent="0.3">
      <c r="I42" s="3"/>
    </row>
    <row r="43" spans="1:9" x14ac:dyDescent="0.3">
      <c r="I43" s="3"/>
    </row>
    <row r="44" spans="1:9" x14ac:dyDescent="0.3">
      <c r="I44" s="3"/>
    </row>
    <row r="45" spans="1:9" x14ac:dyDescent="0.3">
      <c r="I45" s="3"/>
    </row>
    <row r="46" spans="1:9" x14ac:dyDescent="0.3">
      <c r="I46" s="3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  <row r="61" spans="9:9" x14ac:dyDescent="0.3">
      <c r="I61" s="3"/>
    </row>
    <row r="62" spans="9:9" x14ac:dyDescent="0.3">
      <c r="I62" s="3"/>
    </row>
    <row r="63" spans="9:9" x14ac:dyDescent="0.3">
      <c r="I63" s="3"/>
    </row>
    <row r="64" spans="9:9" x14ac:dyDescent="0.3">
      <c r="I64" s="3"/>
    </row>
    <row r="65" spans="9:9" x14ac:dyDescent="0.3">
      <c r="I65" s="3"/>
    </row>
    <row r="66" spans="9:9" x14ac:dyDescent="0.3">
      <c r="I66" s="3"/>
    </row>
    <row r="67" spans="9:9" x14ac:dyDescent="0.3">
      <c r="I67" s="3"/>
    </row>
    <row r="68" spans="9:9" x14ac:dyDescent="0.3">
      <c r="I68" s="3"/>
    </row>
    <row r="69" spans="9:9" x14ac:dyDescent="0.3">
      <c r="I69" s="3"/>
    </row>
    <row r="70" spans="9:9" x14ac:dyDescent="0.3">
      <c r="I70" s="3"/>
    </row>
    <row r="71" spans="9:9" x14ac:dyDescent="0.3">
      <c r="I71" s="3"/>
    </row>
    <row r="72" spans="9:9" x14ac:dyDescent="0.3">
      <c r="I72" s="3"/>
    </row>
    <row r="73" spans="9:9" x14ac:dyDescent="0.3">
      <c r="I73" s="3"/>
    </row>
    <row r="74" spans="9:9" x14ac:dyDescent="0.3">
      <c r="I74"/>
    </row>
    <row r="75" spans="9:9" x14ac:dyDescent="0.3">
      <c r="I75" s="3"/>
    </row>
    <row r="76" spans="9:9" x14ac:dyDescent="0.3">
      <c r="I76" s="3"/>
    </row>
    <row r="77" spans="9:9" x14ac:dyDescent="0.3">
      <c r="I77" s="3"/>
    </row>
    <row r="78" spans="9:9" x14ac:dyDescent="0.3">
      <c r="I78" s="3"/>
    </row>
    <row r="79" spans="9:9" x14ac:dyDescent="0.3">
      <c r="I79" s="3"/>
    </row>
    <row r="80" spans="9:9" x14ac:dyDescent="0.3">
      <c r="I80" s="3"/>
    </row>
    <row r="81" spans="9:9" x14ac:dyDescent="0.3">
      <c r="I81" s="3"/>
    </row>
    <row r="82" spans="9:9" x14ac:dyDescent="0.3">
      <c r="I82" s="3"/>
    </row>
    <row r="83" spans="9:9" x14ac:dyDescent="0.3">
      <c r="I83" s="3"/>
    </row>
    <row r="84" spans="9:9" x14ac:dyDescent="0.3">
      <c r="I84" s="3"/>
    </row>
    <row r="85" spans="9:9" x14ac:dyDescent="0.3">
      <c r="I85" s="3"/>
    </row>
    <row r="86" spans="9:9" x14ac:dyDescent="0.3">
      <c r="I86" s="3"/>
    </row>
    <row r="87" spans="9:9" x14ac:dyDescent="0.3">
      <c r="I87" s="3"/>
    </row>
    <row r="88" spans="9:9" x14ac:dyDescent="0.3">
      <c r="I88" s="3"/>
    </row>
  </sheetData>
  <mergeCells count="1">
    <mergeCell ref="A2:H2"/>
  </mergeCells>
  <conditionalFormatting sqref="E35 E33 E37:E1048576 E1 E3">
    <cfRule type="colorScale" priority="1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 F33 F37:F1048576 F1 F3">
    <cfRule type="colorScale" priority="1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4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">
    <cfRule type="colorScale" priority="4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0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1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1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1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9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showInputMessage="1" showErrorMessage="1" sqref="A36 I75:I88 I2:I73" xr:uid="{CC762F61-7C11-4FAB-8EDD-A9FD3F48173B}"/>
    <dataValidation type="list" allowBlank="1" showInputMessage="1" showErrorMessage="1" sqref="G35:G1048576 G33" xr:uid="{5FA167F0-5BC7-4DE1-8D68-001BA07EC392}">
      <formula1>#REF!</formula1>
    </dataValidation>
    <dataValidation type="list" allowBlank="1" showInputMessage="1" showErrorMessage="1" sqref="H35:H1048576 H4:H33" xr:uid="{7B5D7C25-38FE-4E48-9D73-430C9D9914E1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76DA-7360-4B37-9F83-89C2BF0E164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A6D42-A8BD-40E3-AC95-1B44DD2BB571}">
  <sheetPr codeName="Sheet6">
    <pageSetUpPr fitToPage="1"/>
  </sheetPr>
  <dimension ref="A2:I111"/>
  <sheetViews>
    <sheetView tabSelected="1" zoomScale="130" zoomScaleNormal="130" zoomScalePageLayoutView="130" workbookViewId="0">
      <pane ySplit="3" topLeftCell="A4" activePane="bottomLeft" state="frozen"/>
      <selection pane="bottomLeft" activeCell="D7" sqref="D7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2.44140625" style="2" bestFit="1" customWidth="1"/>
    <col min="8" max="8" width="9" style="2" customWidth="1"/>
    <col min="9" max="9" width="10.33203125" style="2" customWidth="1"/>
  </cols>
  <sheetData>
    <row r="2" spans="1:9" x14ac:dyDescent="0.3">
      <c r="A2" s="32" t="s">
        <v>4</v>
      </c>
      <c r="B2" s="33"/>
      <c r="C2" s="33"/>
      <c r="D2" s="33"/>
      <c r="E2" s="33"/>
      <c r="F2" s="33"/>
      <c r="G2" s="33"/>
      <c r="H2" s="33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21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3">
      <c r="A5" s="28">
        <v>1.1000000000000001</v>
      </c>
      <c r="B5" s="29" t="s">
        <v>174</v>
      </c>
      <c r="C5" s="28">
        <v>4</v>
      </c>
      <c r="D5" s="28">
        <v>2</v>
      </c>
      <c r="E5" s="28">
        <v>1</v>
      </c>
      <c r="F5" s="28">
        <v>3</v>
      </c>
      <c r="G5" s="30" t="s">
        <v>53</v>
      </c>
      <c r="H5" s="4" t="s">
        <v>164</v>
      </c>
      <c r="I5" s="3"/>
    </row>
    <row r="6" spans="1:9" x14ac:dyDescent="0.3">
      <c r="A6" s="9">
        <v>1.2</v>
      </c>
      <c r="B6" s="10" t="s">
        <v>175</v>
      </c>
      <c r="C6" s="9">
        <v>4</v>
      </c>
      <c r="D6" s="9"/>
      <c r="E6" s="9">
        <v>2</v>
      </c>
      <c r="F6" s="9">
        <v>3</v>
      </c>
      <c r="G6" s="13" t="s">
        <v>190</v>
      </c>
      <c r="H6" s="4" t="s">
        <v>5</v>
      </c>
      <c r="I6" s="3"/>
    </row>
    <row r="7" spans="1:9" x14ac:dyDescent="0.3">
      <c r="A7" s="28">
        <v>1.3</v>
      </c>
      <c r="B7" s="29" t="s">
        <v>176</v>
      </c>
      <c r="C7" s="28">
        <v>6</v>
      </c>
      <c r="D7" s="28">
        <v>0.5</v>
      </c>
      <c r="E7" s="28">
        <v>1</v>
      </c>
      <c r="F7" s="28">
        <v>3</v>
      </c>
      <c r="G7" s="30" t="s">
        <v>53</v>
      </c>
      <c r="H7" s="4" t="s">
        <v>164</v>
      </c>
      <c r="I7" s="3"/>
    </row>
    <row r="8" spans="1:9" x14ac:dyDescent="0.3">
      <c r="A8" s="9">
        <v>2</v>
      </c>
      <c r="B8" s="10" t="s">
        <v>168</v>
      </c>
      <c r="C8" s="9"/>
      <c r="D8" s="9"/>
      <c r="E8" s="9"/>
      <c r="F8" s="9"/>
      <c r="G8" s="13"/>
      <c r="H8" s="4" t="s">
        <v>5</v>
      </c>
      <c r="I8" s="3"/>
    </row>
    <row r="9" spans="1:9" x14ac:dyDescent="0.3">
      <c r="A9" s="9">
        <v>2.1</v>
      </c>
      <c r="B9" s="10" t="s">
        <v>177</v>
      </c>
      <c r="C9" s="9">
        <v>16</v>
      </c>
      <c r="D9" s="9"/>
      <c r="E9" s="9">
        <v>3</v>
      </c>
      <c r="F9" s="9">
        <v>3</v>
      </c>
      <c r="G9" s="13" t="s">
        <v>65</v>
      </c>
      <c r="H9" s="4" t="s">
        <v>5</v>
      </c>
      <c r="I9" s="3"/>
    </row>
    <row r="10" spans="1:9" x14ac:dyDescent="0.3">
      <c r="A10" s="9">
        <v>2.2000000000000002</v>
      </c>
      <c r="B10" s="10" t="s">
        <v>178</v>
      </c>
      <c r="C10" s="9">
        <v>4</v>
      </c>
      <c r="D10" s="9"/>
      <c r="E10" s="9">
        <v>1</v>
      </c>
      <c r="F10" s="9">
        <v>1</v>
      </c>
      <c r="G10" s="13" t="s">
        <v>165</v>
      </c>
      <c r="H10" s="4" t="s">
        <v>5</v>
      </c>
      <c r="I10" s="3"/>
    </row>
    <row r="11" spans="1:9" x14ac:dyDescent="0.3">
      <c r="A11" s="9">
        <v>2.2999999999999998</v>
      </c>
      <c r="B11" s="10" t="s">
        <v>179</v>
      </c>
      <c r="C11" s="9">
        <v>6</v>
      </c>
      <c r="D11" s="9"/>
      <c r="E11" s="9">
        <v>1</v>
      </c>
      <c r="F11" s="9">
        <v>1</v>
      </c>
      <c r="G11" s="13" t="s">
        <v>65</v>
      </c>
      <c r="H11" s="4" t="s">
        <v>5</v>
      </c>
      <c r="I11" s="3"/>
    </row>
    <row r="12" spans="1:9" x14ac:dyDescent="0.3">
      <c r="A12" s="9">
        <v>3</v>
      </c>
      <c r="B12" s="10" t="s">
        <v>169</v>
      </c>
      <c r="C12" s="9"/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3.1</v>
      </c>
      <c r="B13" s="10" t="s">
        <v>180</v>
      </c>
      <c r="C13" s="9">
        <v>5</v>
      </c>
      <c r="D13" s="9"/>
      <c r="E13" s="9">
        <v>2</v>
      </c>
      <c r="F13" s="9">
        <v>1</v>
      </c>
      <c r="G13" s="13" t="s">
        <v>123</v>
      </c>
      <c r="H13" s="4" t="s">
        <v>5</v>
      </c>
      <c r="I13" s="3"/>
    </row>
    <row r="14" spans="1:9" x14ac:dyDescent="0.3">
      <c r="A14" s="9">
        <v>3.2</v>
      </c>
      <c r="B14" s="10" t="s">
        <v>181</v>
      </c>
      <c r="C14" s="9">
        <v>6</v>
      </c>
      <c r="D14" s="9"/>
      <c r="E14" s="9">
        <v>1</v>
      </c>
      <c r="F14" s="9">
        <v>2</v>
      </c>
      <c r="G14" s="13" t="s">
        <v>191</v>
      </c>
      <c r="H14" s="4" t="s">
        <v>5</v>
      </c>
      <c r="I14" s="3"/>
    </row>
    <row r="15" spans="1:9" x14ac:dyDescent="0.3">
      <c r="A15" s="9">
        <v>4</v>
      </c>
      <c r="B15" s="10" t="s">
        <v>10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4.0999999999999996</v>
      </c>
      <c r="B16" s="10" t="s">
        <v>182</v>
      </c>
      <c r="C16" s="9">
        <v>4</v>
      </c>
      <c r="D16" s="9"/>
      <c r="E16" s="9">
        <v>2</v>
      </c>
      <c r="F16" s="9">
        <v>1</v>
      </c>
      <c r="G16" s="13" t="s">
        <v>192</v>
      </c>
      <c r="H16" s="4" t="s">
        <v>5</v>
      </c>
      <c r="I16" s="3"/>
    </row>
    <row r="17" spans="1:9" x14ac:dyDescent="0.3">
      <c r="A17" s="9">
        <v>4.2</v>
      </c>
      <c r="B17" s="10" t="s">
        <v>183</v>
      </c>
      <c r="C17" s="9">
        <v>6</v>
      </c>
      <c r="D17" s="9"/>
      <c r="E17" s="9">
        <v>1</v>
      </c>
      <c r="F17" s="9">
        <v>1</v>
      </c>
      <c r="G17" s="13" t="s">
        <v>65</v>
      </c>
      <c r="H17" s="4" t="s">
        <v>5</v>
      </c>
      <c r="I17" s="3"/>
    </row>
    <row r="18" spans="1:9" x14ac:dyDescent="0.3">
      <c r="A18" s="9">
        <v>5</v>
      </c>
      <c r="B18" s="10" t="s">
        <v>170</v>
      </c>
      <c r="C18" s="9"/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5.0999999999999996</v>
      </c>
      <c r="B19" s="10" t="s">
        <v>184</v>
      </c>
      <c r="C19" s="9">
        <v>6</v>
      </c>
      <c r="D19" s="9"/>
      <c r="E19" s="9">
        <v>3</v>
      </c>
      <c r="F19" s="9">
        <v>3</v>
      </c>
      <c r="G19" s="13" t="s">
        <v>52</v>
      </c>
      <c r="H19" s="4" t="s">
        <v>5</v>
      </c>
      <c r="I19" s="3"/>
    </row>
    <row r="20" spans="1:9" x14ac:dyDescent="0.3">
      <c r="A20" s="9">
        <v>5.2</v>
      </c>
      <c r="B20" s="10" t="s">
        <v>185</v>
      </c>
      <c r="C20" s="9">
        <v>5</v>
      </c>
      <c r="D20" s="9"/>
      <c r="E20" s="9">
        <v>3</v>
      </c>
      <c r="F20" s="9">
        <v>2</v>
      </c>
      <c r="G20" s="13" t="s">
        <v>52</v>
      </c>
      <c r="H20" s="4" t="s">
        <v>5</v>
      </c>
      <c r="I20" s="3"/>
    </row>
    <row r="21" spans="1:9" x14ac:dyDescent="0.3">
      <c r="A21" s="9">
        <v>5.3</v>
      </c>
      <c r="B21" s="10" t="s">
        <v>186</v>
      </c>
      <c r="C21" s="9">
        <v>2</v>
      </c>
      <c r="D21" s="9"/>
      <c r="E21" s="9">
        <v>1</v>
      </c>
      <c r="F21" s="9">
        <v>2</v>
      </c>
      <c r="G21" s="13" t="s">
        <v>52</v>
      </c>
      <c r="H21" s="4" t="s">
        <v>5</v>
      </c>
      <c r="I21" s="3"/>
    </row>
    <row r="22" spans="1:9" x14ac:dyDescent="0.3">
      <c r="A22" s="9">
        <v>6</v>
      </c>
      <c r="B22" s="10" t="s">
        <v>171</v>
      </c>
      <c r="C22" s="9"/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6.1</v>
      </c>
      <c r="B23" s="10" t="s">
        <v>187</v>
      </c>
      <c r="C23" s="9">
        <v>6</v>
      </c>
      <c r="D23" s="9"/>
      <c r="E23" s="9">
        <v>3</v>
      </c>
      <c r="F23" s="9">
        <v>1</v>
      </c>
      <c r="G23" s="13" t="s">
        <v>193</v>
      </c>
      <c r="H23" s="4" t="s">
        <v>5</v>
      </c>
      <c r="I23" s="3"/>
    </row>
    <row r="24" spans="1:9" x14ac:dyDescent="0.3">
      <c r="A24" s="9">
        <v>6.2</v>
      </c>
      <c r="B24" s="10" t="s">
        <v>188</v>
      </c>
      <c r="C24" s="9">
        <v>6</v>
      </c>
      <c r="D24" s="9"/>
      <c r="E24" s="9">
        <v>2</v>
      </c>
      <c r="F24" s="9">
        <v>1</v>
      </c>
      <c r="G24" s="13" t="s">
        <v>193</v>
      </c>
      <c r="H24" s="4" t="s">
        <v>5</v>
      </c>
      <c r="I24" s="3"/>
    </row>
    <row r="25" spans="1:9" x14ac:dyDescent="0.3">
      <c r="A25" s="9">
        <v>7</v>
      </c>
      <c r="B25" s="10" t="s">
        <v>172</v>
      </c>
      <c r="C25" s="9"/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7.1</v>
      </c>
      <c r="B26" s="10" t="s">
        <v>189</v>
      </c>
      <c r="C26" s="9">
        <v>2</v>
      </c>
      <c r="D26" s="9"/>
      <c r="E26" s="9">
        <v>1</v>
      </c>
      <c r="F26" s="9">
        <v>3</v>
      </c>
      <c r="G26" s="13" t="s">
        <v>123</v>
      </c>
      <c r="H26" s="4" t="s">
        <v>5</v>
      </c>
      <c r="I26" s="3"/>
    </row>
    <row r="27" spans="1:9" x14ac:dyDescent="0.3">
      <c r="A27" s="9">
        <v>8</v>
      </c>
      <c r="B27" s="10" t="s">
        <v>173</v>
      </c>
      <c r="C27" s="9">
        <v>7</v>
      </c>
      <c r="D27" s="9"/>
      <c r="E27" s="9">
        <v>1</v>
      </c>
      <c r="F27" s="9">
        <v>1</v>
      </c>
      <c r="G27" s="13" t="s">
        <v>124</v>
      </c>
      <c r="H27" s="4" t="s">
        <v>5</v>
      </c>
      <c r="I27" s="3"/>
    </row>
    <row r="28" spans="1:9" x14ac:dyDescent="0.3">
      <c r="A28" s="5"/>
      <c r="C28" s="11">
        <v>85</v>
      </c>
      <c r="I28" s="3"/>
    </row>
    <row r="29" spans="1:9" x14ac:dyDescent="0.3">
      <c r="I29" s="3"/>
    </row>
    <row r="30" spans="1:9" x14ac:dyDescent="0.3">
      <c r="I30" s="3"/>
    </row>
    <row r="31" spans="1:9" x14ac:dyDescent="0.3">
      <c r="A31" s="3"/>
      <c r="C31"/>
      <c r="D31"/>
      <c r="E31"/>
      <c r="F31"/>
      <c r="G31"/>
      <c r="H31"/>
      <c r="I31" s="3"/>
    </row>
    <row r="32" spans="1:9" x14ac:dyDescent="0.3">
      <c r="I32" s="3"/>
    </row>
    <row r="33" spans="9:9" x14ac:dyDescent="0.3">
      <c r="I33" s="3"/>
    </row>
    <row r="34" spans="9:9" x14ac:dyDescent="0.3">
      <c r="I34" s="3"/>
    </row>
    <row r="35" spans="9:9" x14ac:dyDescent="0.3">
      <c r="I35" s="3"/>
    </row>
    <row r="36" spans="9:9" x14ac:dyDescent="0.3">
      <c r="I36" s="3"/>
    </row>
    <row r="37" spans="9:9" x14ac:dyDescent="0.3">
      <c r="I37" s="3"/>
    </row>
    <row r="38" spans="9:9" x14ac:dyDescent="0.3">
      <c r="I38" s="3"/>
    </row>
    <row r="39" spans="9:9" x14ac:dyDescent="0.3">
      <c r="I39" s="3"/>
    </row>
    <row r="40" spans="9:9" x14ac:dyDescent="0.3">
      <c r="I40" s="3"/>
    </row>
    <row r="41" spans="9:9" x14ac:dyDescent="0.3">
      <c r="I41" s="3"/>
    </row>
    <row r="42" spans="9:9" x14ac:dyDescent="0.3">
      <c r="I42" s="3"/>
    </row>
    <row r="43" spans="9:9" x14ac:dyDescent="0.3">
      <c r="I43" s="3"/>
    </row>
    <row r="44" spans="9:9" x14ac:dyDescent="0.3">
      <c r="I44" s="3"/>
    </row>
    <row r="45" spans="9:9" x14ac:dyDescent="0.3">
      <c r="I45" s="3"/>
    </row>
    <row r="46" spans="9:9" x14ac:dyDescent="0.3">
      <c r="I46" s="3"/>
    </row>
    <row r="47" spans="9:9" x14ac:dyDescent="0.3">
      <c r="I47" s="3"/>
    </row>
    <row r="48" spans="9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  <row r="61" spans="9:9" x14ac:dyDescent="0.3">
      <c r="I61" s="3"/>
    </row>
    <row r="62" spans="9:9" x14ac:dyDescent="0.3">
      <c r="I62" s="3"/>
    </row>
    <row r="63" spans="9:9" x14ac:dyDescent="0.3">
      <c r="I63" s="3"/>
    </row>
    <row r="64" spans="9:9" x14ac:dyDescent="0.3">
      <c r="I64" s="3"/>
    </row>
    <row r="65" spans="9:9" x14ac:dyDescent="0.3">
      <c r="I65" s="3"/>
    </row>
    <row r="66" spans="9:9" x14ac:dyDescent="0.3">
      <c r="I66" s="3"/>
    </row>
    <row r="67" spans="9:9" x14ac:dyDescent="0.3">
      <c r="I67" s="3"/>
    </row>
    <row r="68" spans="9:9" x14ac:dyDescent="0.3">
      <c r="I68" s="3"/>
    </row>
    <row r="69" spans="9:9" x14ac:dyDescent="0.3">
      <c r="I69" s="3"/>
    </row>
    <row r="70" spans="9:9" x14ac:dyDescent="0.3">
      <c r="I70" s="3"/>
    </row>
    <row r="71" spans="9:9" x14ac:dyDescent="0.3">
      <c r="I71" s="3"/>
    </row>
    <row r="72" spans="9:9" x14ac:dyDescent="0.3">
      <c r="I72" s="3"/>
    </row>
    <row r="73" spans="9:9" x14ac:dyDescent="0.3">
      <c r="I73" s="3"/>
    </row>
    <row r="74" spans="9:9" x14ac:dyDescent="0.3">
      <c r="I74" s="3"/>
    </row>
    <row r="75" spans="9:9" x14ac:dyDescent="0.3">
      <c r="I75" s="3"/>
    </row>
    <row r="76" spans="9:9" x14ac:dyDescent="0.3">
      <c r="I76" s="3"/>
    </row>
    <row r="77" spans="9:9" x14ac:dyDescent="0.3">
      <c r="I77" s="3"/>
    </row>
    <row r="78" spans="9:9" x14ac:dyDescent="0.3">
      <c r="I78" s="3"/>
    </row>
    <row r="79" spans="9:9" x14ac:dyDescent="0.3">
      <c r="I79" s="3"/>
    </row>
    <row r="80" spans="9:9" x14ac:dyDescent="0.3">
      <c r="I80" s="3"/>
    </row>
    <row r="81" spans="9:9" x14ac:dyDescent="0.3">
      <c r="I81" s="3"/>
    </row>
    <row r="82" spans="9:9" x14ac:dyDescent="0.3">
      <c r="I82" s="3"/>
    </row>
    <row r="83" spans="9:9" x14ac:dyDescent="0.3">
      <c r="I83" s="3"/>
    </row>
    <row r="84" spans="9:9" x14ac:dyDescent="0.3">
      <c r="I84" s="3"/>
    </row>
    <row r="85" spans="9:9" x14ac:dyDescent="0.3">
      <c r="I85" s="3"/>
    </row>
    <row r="86" spans="9:9" x14ac:dyDescent="0.3">
      <c r="I86" s="3"/>
    </row>
    <row r="87" spans="9:9" x14ac:dyDescent="0.3">
      <c r="I87" s="3"/>
    </row>
    <row r="88" spans="9:9" x14ac:dyDescent="0.3">
      <c r="I88" s="3"/>
    </row>
    <row r="89" spans="9:9" x14ac:dyDescent="0.3">
      <c r="I89" s="3"/>
    </row>
    <row r="90" spans="9:9" x14ac:dyDescent="0.3">
      <c r="I90" s="3"/>
    </row>
    <row r="91" spans="9:9" x14ac:dyDescent="0.3">
      <c r="I91" s="3"/>
    </row>
    <row r="92" spans="9:9" x14ac:dyDescent="0.3">
      <c r="I92" s="3"/>
    </row>
    <row r="93" spans="9:9" x14ac:dyDescent="0.3">
      <c r="I93" s="3"/>
    </row>
    <row r="94" spans="9:9" x14ac:dyDescent="0.3">
      <c r="I94" s="3"/>
    </row>
    <row r="95" spans="9:9" x14ac:dyDescent="0.3">
      <c r="I95" s="3"/>
    </row>
    <row r="96" spans="9:9" x14ac:dyDescent="0.3">
      <c r="I96" s="3"/>
    </row>
    <row r="97" spans="9:9" x14ac:dyDescent="0.3">
      <c r="I97"/>
    </row>
    <row r="98" spans="9:9" x14ac:dyDescent="0.3">
      <c r="I98" s="3"/>
    </row>
    <row r="99" spans="9:9" x14ac:dyDescent="0.3">
      <c r="I99" s="3"/>
    </row>
    <row r="100" spans="9:9" x14ac:dyDescent="0.3">
      <c r="I100" s="3"/>
    </row>
    <row r="101" spans="9:9" x14ac:dyDescent="0.3">
      <c r="I101" s="3"/>
    </row>
    <row r="102" spans="9:9" x14ac:dyDescent="0.3">
      <c r="I102" s="3"/>
    </row>
    <row r="103" spans="9:9" x14ac:dyDescent="0.3">
      <c r="I103" s="3"/>
    </row>
    <row r="104" spans="9:9" x14ac:dyDescent="0.3">
      <c r="I104" s="3"/>
    </row>
    <row r="105" spans="9:9" x14ac:dyDescent="0.3">
      <c r="I105" s="3"/>
    </row>
    <row r="106" spans="9:9" x14ac:dyDescent="0.3">
      <c r="I106" s="3"/>
    </row>
    <row r="107" spans="9:9" x14ac:dyDescent="0.3">
      <c r="I107" s="3"/>
    </row>
    <row r="108" spans="9:9" x14ac:dyDescent="0.3">
      <c r="I108" s="3"/>
    </row>
    <row r="109" spans="9:9" x14ac:dyDescent="0.3">
      <c r="I109" s="3"/>
    </row>
    <row r="110" spans="9:9" x14ac:dyDescent="0.3">
      <c r="I110" s="3"/>
    </row>
    <row r="111" spans="9:9" x14ac:dyDescent="0.3">
      <c r="I111" s="3"/>
    </row>
  </sheetData>
  <mergeCells count="1">
    <mergeCell ref="A2:H2"/>
  </mergeCells>
  <conditionalFormatting sqref="E30 E28 E32:E1048576 E1 E3">
    <cfRule type="colorScale" priority="2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 F28 F32:F1048576 F1 F3">
    <cfRule type="colorScale" priority="2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2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2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30:H1048576 H4:H28" xr:uid="{644A935F-6EA8-4B3D-966F-5BF885A4FCE6}">
      <formula1>"ToDo, In Progress, Complete"</formula1>
    </dataValidation>
    <dataValidation type="list" allowBlank="1" showInputMessage="1" showErrorMessage="1" sqref="G30:G1048576 G28" xr:uid="{DD0693BB-FEDF-43FD-8560-7495227371F8}">
      <formula1>#REF!</formula1>
    </dataValidation>
    <dataValidation showInputMessage="1" showErrorMessage="1" sqref="A31 I98:I111 I2:I96" xr:uid="{B4874565-06A3-40A2-B92C-AC5CB0821737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project</vt:lpstr>
      <vt:lpstr>Sheet1</vt:lpstr>
      <vt:lpstr>TimeSheetReal</vt:lpstr>
      <vt:lpstr>TimeSheet</vt:lpstr>
      <vt:lpstr>PDR Task List</vt:lpstr>
      <vt:lpstr>PDR Task List OFFICIAL</vt:lpstr>
      <vt:lpstr>Sheet2</vt:lpstr>
      <vt:lpstr>CDR Task List OFFICIAL (2)</vt:lpstr>
      <vt:lpstr>'CDR Task List OFFICIAL (2)'!totalHours</vt:lpstr>
      <vt:lpstr>'PDR Task List'!totalHours</vt:lpstr>
      <vt:lpstr>'PDR Task List OFFICIAL'!totalHours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2024-04-08T15:55:57Z</dcterms:modified>
</cp:coreProperties>
</file>