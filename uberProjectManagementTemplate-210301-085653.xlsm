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7" codeName="{3D1A710C-6663-3D7B-7F91-EC182F24A4BC}"/>
  <workbookPr filterPrivacy="1" codeName="ThisWorkbook" autoCompressPictures="0"/>
  <xr:revisionPtr revIDLastSave="0" documentId="13_ncr:1_{ACAED831-5B16-4DD4-9349-006B4B6F7471}" xr6:coauthVersionLast="36" xr6:coauthVersionMax="47" xr10:uidLastSave="{00000000-0000-0000-0000-000000000000}"/>
  <bookViews>
    <workbookView xWindow="0" yWindow="0" windowWidth="28800" windowHeight="12105" tabRatio="773" activeTab="3" xr2:uid="{00000000-000D-0000-FFFF-FFFF00000000}"/>
  </bookViews>
  <sheets>
    <sheet name="project" sheetId="1" r:id="rId1"/>
    <sheet name="TimeSheetReal" sheetId="4" r:id="rId2"/>
    <sheet name="TimeSheet" sheetId="2" r:id="rId3"/>
    <sheet name="PDR Task List" sheetId="6" r:id="rId4"/>
  </sheets>
  <definedNames>
    <definedName name="totalHours" localSheetId="3">'PDR Task List'!$C$43</definedName>
    <definedName name="totalHours">project!$C$34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7" i="2" l="1"/>
  <c r="J26" i="2"/>
  <c r="J25" i="2"/>
  <c r="J24" i="2"/>
  <c r="J23" i="2"/>
  <c r="J22" i="2"/>
  <c r="K7" i="2"/>
  <c r="K5" i="2"/>
  <c r="M4" i="4"/>
  <c r="M3" i="4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J26" i="4"/>
  <c r="J23" i="4"/>
  <c r="J22" i="4"/>
  <c r="J21" i="4"/>
  <c r="J20" i="4"/>
  <c r="J19" i="4"/>
  <c r="J18" i="4"/>
  <c r="J15" i="4"/>
  <c r="J14" i="4"/>
  <c r="J13" i="4"/>
  <c r="J12" i="4"/>
  <c r="J11" i="4"/>
  <c r="J10" i="4"/>
  <c r="M2" i="4" s="1"/>
  <c r="J7" i="4"/>
  <c r="M7" i="4" s="1"/>
  <c r="J6" i="4"/>
  <c r="M6" i="4" s="1"/>
  <c r="J5" i="4"/>
  <c r="M5" i="4" s="1"/>
  <c r="J4" i="4"/>
  <c r="J3" i="4"/>
  <c r="J2" i="4"/>
  <c r="K6" i="2"/>
  <c r="J7" i="2"/>
  <c r="J3" i="2"/>
  <c r="J4" i="2"/>
  <c r="J5" i="2"/>
  <c r="J6" i="2"/>
  <c r="J2" i="2"/>
  <c r="K4" i="2" l="1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<sst xmlns="http://schemas.openxmlformats.org/spreadsheetml/2006/main" count="565" uniqueCount="130">
  <si>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</si>
  <si>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</si>
  <si>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</si>
  <si>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</si>
  <si>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</si>
  <si>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</si>
  <si>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</si>
  <si>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</si>
  <si>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</si>
  <si>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</si>
  <si>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</si>
  <si>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</si>
  <si>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</si>
  <si>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</si>
  <si>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</si>
  <si>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</si>
  <si>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</si>
  <si>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</si>
  <si>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</si>
  <si>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</si>
  <si>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</si>
  <si>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</si>
  <si>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</si>
  <si>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</si>
  <si>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</si>
  <si>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</si>
  <si>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</si>
  <si>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</si>
  <si>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</si>
  <si>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</si>
  <si>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</si>
  <si>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</si>
  <si>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</si>
  <si>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</si>
  <si>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</si>
  <si>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</si>
  <si>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</si>
  <si>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</si>
  <si>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</si>
  <si>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</si>
  <si>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</si>
  <si>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</si>
  <si>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</si>
  <si>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</si>
  <si>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</si>
  <si>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</si>
  <si>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</si>
  <si>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</si>
  <si>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</si>
  <si>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</si>
  <si>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</si>
  <si>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</si>
  <si>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</si>
  <si>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</si>
  <si>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</si>
  <si>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</si>
  <si>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</si>
  <si>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</si>
  <si>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</si>
  <si>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</si>
  <si>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</si>
  <si>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</si>
  <si>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</si>
  <si>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</si>
  <si>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</si>
  <si>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</si>
  <si>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</si>
  <si>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</si>
  <si>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</si>
  <si>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</si>
  <si>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</si>
  <si>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</si>
  <si>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</si>
  <si>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</si>
  <si>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</si>
  <si>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</si>
  <si>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</si>
  <si>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</si>
  <si>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</si>
  <si>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</si>
  <si>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</si>
  <si>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</si>
  <si>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</si>
  <si>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</si>
  <si>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</si>
  <si>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</si>
  <si>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</si>
  <si>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</si>
  <si>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</si>
  <si>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</si>
  <si>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</si>
  <si>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</si>
  <si>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</si>
  <si>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</si>
  <si>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</si>
  <si>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</si>
  <si>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</si>
  <si>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</si>
  <si>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</si>
  <si>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</si>
  <si>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</si>
  <si>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</si>
  <si>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</si>
  <si>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</si>
  <si>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</si>
  <si>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</si>
  <si>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</si>
  <si>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</si>
  <si>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</si>
  <si>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</si>
  <si>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</si>
  <si>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</si>
  <si>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</si>
  <si>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</si>
  <si>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</si>
  <si>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</si>
  <si>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</si>
  <si>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</si>
  <si>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</si>
  <si>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</si>
  <si>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</si>
  <si>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</si>
  <si>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</si>
  <si>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</si>
  <si>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</si>
  <si>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</si>
  <si>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</si>
  <si>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</si>
  <si>
    <t>FPGA Architecture for in/out of bounds LED</t>
  </si>
  <si>
    <t>Run Simulations for bounds 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</si>
</sst>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>
      <calculatedColumnFormula>Table145[[#This Row],[Monday]]+Table145[[#This Row],[Tuesday]]+Table145[[#This Row],[Wensday]]+Table145[[#This Row],[Thrusday]]+Table145[[#This Row],[Friday]]+Table145[[#This Row],[Saturday]]+Table145[[#This Row],[Sunday]]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Week3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4" activePane="bottomLeft" state="frozen"/>
      <selection pane="bottomLeft" activeCell="B11" sqref="B11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28" t="s">
        <v>4</v>
      </c>
      <c r="B2" s="29"/>
      <c r="C2" s="29"/>
      <c r="D2" s="29"/>
      <c r="E2" s="29"/>
      <c r="F2" s="29"/>
      <c r="G2" s="29"/>
      <c r="H2" s="29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25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25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25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25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25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25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25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25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25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25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25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25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25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25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25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25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25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25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25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25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25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25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25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25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25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25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25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25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25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25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workbookViewId="0">
      <selection activeCell="K7" sqref="K7"/>
    </sheetView>
  </sheetViews>
  <sheetFormatPr defaultRowHeight="15" x14ac:dyDescent="0.25"/>
  <cols>
    <col min="1" max="1" width="11.7109375" bestFit="1" customWidth="1"/>
    <col min="3" max="4" width="10.28515625" bestFit="1" customWidth="1"/>
    <col min="5" max="6" width="11" bestFit="1" customWidth="1"/>
    <col min="7" max="7" width="8.28515625" bestFit="1" customWidth="1"/>
    <col min="8" max="8" width="10.7109375" bestFit="1" customWidth="1"/>
    <col min="9" max="9" width="9.5703125" bestFit="1" customWidth="1"/>
    <col min="10" max="10" width="12.85546875" bestFit="1" customWidth="1"/>
    <col min="14" max="15" width="10.28515625" bestFit="1" customWidth="1"/>
    <col min="16" max="16" width="11" bestFit="1" customWidth="1"/>
    <col min="18" max="18" width="8.28515625" bestFit="1" customWidth="1"/>
    <col min="19" max="19" width="10.7109375" bestFit="1" customWidth="1"/>
    <col min="20" max="20" width="9.5703125" bestFit="1" customWidth="1"/>
    <col min="21" max="21" width="12.85546875" bestFit="1" customWidth="1"/>
  </cols>
  <sheetData>
    <row r="1" spans="1:21" x14ac:dyDescent="0.25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</row>
    <row r="2" spans="1:21" x14ac:dyDescent="0.25">
      <c r="A2" s="14"/>
      <c r="B2" s="14" t="s">
        <v>51</v>
      </c>
      <c r="C2">
        <v>1</v>
      </c>
      <c r="E2">
        <v>1</v>
      </c>
      <c r="I2">
        <v>3</v>
      </c>
      <c r="J2">
        <f>Table14[[#This Row],[Monday]]+Table14[[#This Row],[Tuesday]]+Table14[[#This Row],[Wensday]]+Table14[[#This Row],[Thrusday]]+Table14[[#This Row],[Friday]]+Table14[[#This Row],[Saturday]]+Table14[[#This Row],[Sunday]]</f>
        <v>5</v>
      </c>
      <c r="L2" s="22" t="s">
        <v>51</v>
      </c>
      <c r="M2" s="18">
        <f>Table14[[#This Row],[WeekHours]]+J10+J18+J26+J34+J42+U18+U26+U34+U42</f>
        <v>5</v>
      </c>
    </row>
    <row r="3" spans="1:21" x14ac:dyDescent="0.25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4</v>
      </c>
    </row>
    <row r="4" spans="1:21" x14ac:dyDescent="0.25">
      <c r="B4" t="s">
        <v>53</v>
      </c>
      <c r="C4">
        <v>2</v>
      </c>
      <c r="E4">
        <v>2</v>
      </c>
      <c r="G4">
        <v>2</v>
      </c>
      <c r="I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8</v>
      </c>
      <c r="L4" s="17" t="s">
        <v>53</v>
      </c>
      <c r="M4" s="18">
        <f>Table14[[#This Row],[WeekHours]]+J12+J20+J28+J36+J44+U12+U20+U28+U36+U44</f>
        <v>8</v>
      </c>
    </row>
    <row r="5" spans="1:21" x14ac:dyDescent="0.25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2</v>
      </c>
    </row>
    <row r="6" spans="1:21" x14ac:dyDescent="0.25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2</v>
      </c>
    </row>
    <row r="7" spans="1:21" x14ac:dyDescent="0.25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1</v>
      </c>
    </row>
    <row r="9" spans="1:21" x14ac:dyDescent="0.25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59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25">
      <c r="A10" s="14"/>
      <c r="B10" s="14" t="s">
        <v>51</v>
      </c>
      <c r="J10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L10" s="14"/>
      <c r="M10" s="14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25">
      <c r="B11" t="s">
        <v>52</v>
      </c>
      <c r="J11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25">
      <c r="B12" t="s">
        <v>53</v>
      </c>
      <c r="J12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25">
      <c r="B13" t="s">
        <v>65</v>
      </c>
      <c r="J13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25">
      <c r="B14" t="s">
        <v>66</v>
      </c>
      <c r="J14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25">
      <c r="B15" t="s">
        <v>67</v>
      </c>
      <c r="J15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5" t="s">
        <v>67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25">
      <c r="A17" s="20" t="s">
        <v>56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60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25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25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25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25">
      <c r="B21" t="s">
        <v>65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25">
      <c r="B22" t="s">
        <v>66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25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25">
      <c r="A25" s="20" t="s">
        <v>56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61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25">
      <c r="A26" s="14"/>
      <c r="B26" s="14" t="s">
        <v>51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25">
      <c r="B27" t="s">
        <v>52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25">
      <c r="B28" t="s">
        <v>53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25">
      <c r="B29" t="s">
        <v>65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25">
      <c r="B30" t="s">
        <v>66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25">
      <c r="B31" t="s">
        <v>67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25">
      <c r="A33" s="20" t="s">
        <v>57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62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25">
      <c r="A34" s="14"/>
      <c r="B34" s="14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25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25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25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25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25">
      <c r="B39" t="s">
        <v>67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25">
      <c r="A41" s="20" t="s">
        <v>58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63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25">
      <c r="A42" s="14"/>
      <c r="B42" s="14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25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25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25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25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25">
      <c r="B47" t="s">
        <v>67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workbookViewId="0">
      <selection activeCell="J22" sqref="J22"/>
    </sheetView>
  </sheetViews>
  <sheetFormatPr defaultRowHeight="15" x14ac:dyDescent="0.25"/>
  <cols>
    <col min="1" max="1" width="11.7109375" bestFit="1" customWidth="1"/>
    <col min="2" max="8" width="10.140625" customWidth="1"/>
    <col min="9" max="9" width="12.85546875" bestFit="1" customWidth="1"/>
    <col min="10" max="10" width="16.42578125" customWidth="1"/>
    <col min="21" max="21" width="10.7109375" bestFit="1" customWidth="1"/>
  </cols>
  <sheetData>
    <row r="1" spans="1:11" x14ac:dyDescent="0.25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25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25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25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25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25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25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25">
      <c r="A10" t="s">
        <v>54</v>
      </c>
    </row>
    <row r="11" spans="1:11" x14ac:dyDescent="0.25">
      <c r="A11" t="s">
        <v>55</v>
      </c>
    </row>
    <row r="12" spans="1:11" x14ac:dyDescent="0.25">
      <c r="A12" t="s">
        <v>56</v>
      </c>
    </row>
    <row r="13" spans="1:11" x14ac:dyDescent="0.25">
      <c r="A13" t="s">
        <v>57</v>
      </c>
    </row>
    <row r="14" spans="1:11" x14ac:dyDescent="0.25">
      <c r="A14" t="s">
        <v>58</v>
      </c>
    </row>
    <row r="15" spans="1:11" x14ac:dyDescent="0.25">
      <c r="A15" t="s">
        <v>59</v>
      </c>
    </row>
    <row r="16" spans="1:11" x14ac:dyDescent="0.25">
      <c r="A16" t="s">
        <v>60</v>
      </c>
    </row>
    <row r="17" spans="1:21" x14ac:dyDescent="0.25">
      <c r="A17" t="s">
        <v>61</v>
      </c>
    </row>
    <row r="18" spans="1:21" x14ac:dyDescent="0.25">
      <c r="A18" t="s">
        <v>62</v>
      </c>
    </row>
    <row r="19" spans="1:21" x14ac:dyDescent="0.25">
      <c r="A19" t="s">
        <v>63</v>
      </c>
    </row>
    <row r="21" spans="1:21" x14ac:dyDescent="0.25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25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25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25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25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25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25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25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25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25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25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25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25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25">
      <c r="B35" s="17" t="s">
        <v>67</v>
      </c>
      <c r="M35" s="17" t="s">
        <v>67</v>
      </c>
    </row>
    <row r="36" spans="1:21" x14ac:dyDescent="0.25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25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25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25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25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25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25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25">
      <c r="B43" s="17" t="s">
        <v>67</v>
      </c>
      <c r="M43" s="17" t="s">
        <v>67</v>
      </c>
    </row>
    <row r="45" spans="1:21" x14ac:dyDescent="0.25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25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25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25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25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25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25">
      <c r="B51" s="17" t="s">
        <v>67</v>
      </c>
      <c r="M51" s="17" t="s">
        <v>67</v>
      </c>
    </row>
    <row r="53" spans="1:21" x14ac:dyDescent="0.25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25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25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25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25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25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25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60"/>
  <sheetViews>
    <sheetView tabSelected="1" zoomScale="130" zoomScaleNormal="130" zoomScalePageLayoutView="130" workbookViewId="0">
      <pane ySplit="3" topLeftCell="A28" activePane="bottomLeft" state="frozen"/>
      <selection pane="bottomLeft" activeCell="H39" sqref="H39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28" t="s">
        <v>4</v>
      </c>
      <c r="B2" s="29"/>
      <c r="C2" s="29"/>
      <c r="D2" s="29"/>
      <c r="E2" s="29"/>
      <c r="F2" s="29"/>
      <c r="G2" s="29"/>
      <c r="H2" s="29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69</v>
      </c>
      <c r="C4" s="27"/>
      <c r="D4" s="9"/>
      <c r="E4" s="9"/>
      <c r="F4" s="9"/>
      <c r="G4" s="13" t="s">
        <v>53</v>
      </c>
      <c r="H4" s="4" t="s">
        <v>5</v>
      </c>
      <c r="I4" s="3"/>
    </row>
    <row r="5" spans="1:9" x14ac:dyDescent="0.25">
      <c r="A5" s="9">
        <v>1.1000000000000001</v>
      </c>
      <c r="B5" s="10" t="s">
        <v>114</v>
      </c>
      <c r="C5" s="9">
        <v>0</v>
      </c>
      <c r="D5" s="9"/>
      <c r="E5" s="9"/>
      <c r="F5" s="9"/>
      <c r="G5" s="13" t="s">
        <v>53</v>
      </c>
      <c r="H5" s="4" t="s">
        <v>5</v>
      </c>
      <c r="I5" s="3"/>
    </row>
    <row r="6" spans="1:9" x14ac:dyDescent="0.25">
      <c r="A6" s="9">
        <v>1.2</v>
      </c>
      <c r="B6" s="10" t="s">
        <v>115</v>
      </c>
      <c r="C6" s="9">
        <v>0</v>
      </c>
      <c r="D6" s="9"/>
      <c r="E6" s="9"/>
      <c r="F6" s="9"/>
      <c r="G6" s="13" t="s">
        <v>53</v>
      </c>
      <c r="H6" s="4" t="s">
        <v>5</v>
      </c>
      <c r="I6" s="3"/>
    </row>
    <row r="7" spans="1:9" ht="30" x14ac:dyDescent="0.25">
      <c r="A7" s="9">
        <v>1.3</v>
      </c>
      <c r="B7" s="25" t="s">
        <v>116</v>
      </c>
      <c r="C7" s="9">
        <v>0</v>
      </c>
      <c r="D7" s="9"/>
      <c r="E7" s="9"/>
      <c r="F7" s="9"/>
      <c r="G7" s="13" t="s">
        <v>53</v>
      </c>
      <c r="H7" s="4" t="s">
        <v>5</v>
      </c>
      <c r="I7" s="3"/>
    </row>
    <row r="8" spans="1:9" ht="30" x14ac:dyDescent="0.25">
      <c r="A8" s="9">
        <v>1.4</v>
      </c>
      <c r="B8" s="25" t="s">
        <v>117</v>
      </c>
      <c r="C8" s="9">
        <v>0</v>
      </c>
      <c r="D8" s="9"/>
      <c r="E8" s="9"/>
      <c r="F8" s="9"/>
      <c r="G8" s="13" t="s">
        <v>53</v>
      </c>
      <c r="H8" s="4" t="s">
        <v>5</v>
      </c>
      <c r="I8" s="3"/>
    </row>
    <row r="9" spans="1:9" ht="30" x14ac:dyDescent="0.25">
      <c r="A9" s="9">
        <v>1.5</v>
      </c>
      <c r="B9" s="25" t="s">
        <v>118</v>
      </c>
      <c r="C9" s="9">
        <v>0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25">
      <c r="A10" s="9">
        <v>2</v>
      </c>
      <c r="B10" s="10" t="s">
        <v>70</v>
      </c>
      <c r="C10" s="27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25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25">
      <c r="A12" s="9" t="s">
        <v>80</v>
      </c>
      <c r="B12" s="10" t="s">
        <v>81</v>
      </c>
      <c r="C12" s="9">
        <v>1</v>
      </c>
      <c r="D12" s="9"/>
      <c r="E12" s="9"/>
      <c r="F12" s="9"/>
      <c r="G12" s="13" t="s">
        <v>121</v>
      </c>
      <c r="H12" s="4" t="s">
        <v>5</v>
      </c>
      <c r="I12" s="3"/>
    </row>
    <row r="13" spans="1:9" x14ac:dyDescent="0.25">
      <c r="A13" s="9" t="s">
        <v>82</v>
      </c>
      <c r="B13" s="10" t="s">
        <v>83</v>
      </c>
      <c r="C13" s="9">
        <v>1</v>
      </c>
      <c r="D13" s="9"/>
      <c r="E13" s="9"/>
      <c r="F13" s="9"/>
      <c r="G13" s="13" t="s">
        <v>121</v>
      </c>
      <c r="H13" s="4" t="s">
        <v>5</v>
      </c>
      <c r="I13" s="3"/>
    </row>
    <row r="14" spans="1:9" x14ac:dyDescent="0.25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25">
      <c r="A15" s="9" t="s">
        <v>84</v>
      </c>
      <c r="B15" s="10" t="s">
        <v>85</v>
      </c>
      <c r="C15" s="9">
        <v>2</v>
      </c>
      <c r="D15" s="9"/>
      <c r="E15" s="9"/>
      <c r="F15" s="9"/>
      <c r="G15" s="13" t="s">
        <v>121</v>
      </c>
      <c r="H15" s="4" t="s">
        <v>5</v>
      </c>
      <c r="I15" s="3"/>
    </row>
    <row r="16" spans="1:9" x14ac:dyDescent="0.25">
      <c r="A16" s="9" t="s">
        <v>86</v>
      </c>
      <c r="B16" s="10" t="s">
        <v>87</v>
      </c>
      <c r="C16" s="9">
        <v>5</v>
      </c>
      <c r="D16" s="9"/>
      <c r="E16" s="9"/>
      <c r="F16" s="9"/>
      <c r="G16" s="13" t="s">
        <v>121</v>
      </c>
      <c r="H16" s="4" t="s">
        <v>5</v>
      </c>
      <c r="I16" s="3"/>
    </row>
    <row r="17" spans="1:9" ht="30" x14ac:dyDescent="0.25">
      <c r="A17" s="9" t="s">
        <v>88</v>
      </c>
      <c r="B17" s="25" t="s">
        <v>97</v>
      </c>
      <c r="C17" s="9">
        <v>5</v>
      </c>
      <c r="D17" s="9"/>
      <c r="E17" s="9"/>
      <c r="F17" s="9"/>
      <c r="G17" s="13" t="s">
        <v>120</v>
      </c>
      <c r="H17" s="4" t="s">
        <v>5</v>
      </c>
      <c r="I17" s="3"/>
    </row>
    <row r="18" spans="1:9" x14ac:dyDescent="0.25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25">
      <c r="A19" s="9" t="s">
        <v>89</v>
      </c>
      <c r="B19" s="10" t="s">
        <v>90</v>
      </c>
      <c r="C19" s="9">
        <v>4</v>
      </c>
      <c r="D19" s="9"/>
      <c r="E19" s="9"/>
      <c r="F19" s="9"/>
      <c r="G19" s="13" t="s">
        <v>121</v>
      </c>
      <c r="H19" s="4" t="s">
        <v>5</v>
      </c>
      <c r="I19" s="3"/>
    </row>
    <row r="20" spans="1:9" ht="30" x14ac:dyDescent="0.25">
      <c r="A20" s="9" t="s">
        <v>91</v>
      </c>
      <c r="B20" s="25" t="s">
        <v>92</v>
      </c>
      <c r="C20" s="9">
        <v>0</v>
      </c>
      <c r="D20" s="9"/>
      <c r="E20" s="9"/>
      <c r="F20" s="9"/>
      <c r="G20" s="13" t="s">
        <v>66</v>
      </c>
      <c r="H20" s="4" t="s">
        <v>5</v>
      </c>
      <c r="I20" s="3"/>
    </row>
    <row r="21" spans="1:9" x14ac:dyDescent="0.25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30" x14ac:dyDescent="0.25">
      <c r="A22" s="9" t="s">
        <v>93</v>
      </c>
      <c r="B22" s="25" t="s">
        <v>94</v>
      </c>
      <c r="C22" s="9">
        <v>1</v>
      </c>
      <c r="D22" s="9"/>
      <c r="E22" s="9"/>
      <c r="F22" s="9"/>
      <c r="G22" s="26" t="s">
        <v>125</v>
      </c>
      <c r="H22" s="4" t="s">
        <v>5</v>
      </c>
      <c r="I22" s="3"/>
    </row>
    <row r="23" spans="1:9" ht="30" x14ac:dyDescent="0.25">
      <c r="A23" s="9" t="s">
        <v>96</v>
      </c>
      <c r="B23" s="25" t="s">
        <v>98</v>
      </c>
      <c r="C23" s="9"/>
      <c r="D23" s="9"/>
      <c r="E23" s="9"/>
      <c r="F23" s="9"/>
      <c r="G23" s="13" t="s">
        <v>65</v>
      </c>
      <c r="H23" s="4" t="s">
        <v>5</v>
      </c>
      <c r="I23" s="3"/>
    </row>
    <row r="24" spans="1:9" ht="30" x14ac:dyDescent="0.25">
      <c r="A24" s="9" t="s">
        <v>95</v>
      </c>
      <c r="B24" s="25" t="s">
        <v>99</v>
      </c>
      <c r="C24" s="9">
        <v>0</v>
      </c>
      <c r="D24" s="9"/>
      <c r="E24" s="9"/>
      <c r="F24" s="9"/>
      <c r="G24" s="13" t="s">
        <v>65</v>
      </c>
      <c r="H24" s="4" t="s">
        <v>5</v>
      </c>
      <c r="I24" s="3"/>
    </row>
    <row r="25" spans="1:9" x14ac:dyDescent="0.25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25">
      <c r="A26" s="9" t="s">
        <v>100</v>
      </c>
      <c r="B26" s="10" t="s">
        <v>101</v>
      </c>
      <c r="C26" s="9">
        <v>0</v>
      </c>
      <c r="D26" s="9"/>
      <c r="E26" s="9"/>
      <c r="F26" s="9"/>
      <c r="G26" s="13" t="s">
        <v>126</v>
      </c>
      <c r="H26" s="4" t="s">
        <v>5</v>
      </c>
      <c r="I26" s="3"/>
    </row>
    <row r="27" spans="1:9" x14ac:dyDescent="0.25">
      <c r="A27" s="9" t="s">
        <v>102</v>
      </c>
      <c r="B27" s="10" t="s">
        <v>103</v>
      </c>
      <c r="C27" s="9">
        <v>0</v>
      </c>
      <c r="D27" s="9"/>
      <c r="E27" s="9"/>
      <c r="F27" s="9"/>
      <c r="G27" s="13" t="s">
        <v>126</v>
      </c>
      <c r="H27" s="4" t="s">
        <v>5</v>
      </c>
      <c r="I27" s="3"/>
    </row>
    <row r="28" spans="1:9" ht="30" x14ac:dyDescent="0.25">
      <c r="A28" s="9" t="s">
        <v>104</v>
      </c>
      <c r="B28" s="25" t="s">
        <v>105</v>
      </c>
      <c r="C28" s="9">
        <v>0</v>
      </c>
      <c r="D28" s="9"/>
      <c r="E28" s="9"/>
      <c r="F28" s="9"/>
      <c r="G28" s="13" t="s">
        <v>126</v>
      </c>
      <c r="H28" s="4" t="s">
        <v>5</v>
      </c>
      <c r="I28" s="3"/>
    </row>
    <row r="29" spans="1:9" ht="30" x14ac:dyDescent="0.25">
      <c r="A29" s="9" t="s">
        <v>106</v>
      </c>
      <c r="B29" s="25" t="s">
        <v>107</v>
      </c>
      <c r="C29" s="9">
        <v>0</v>
      </c>
      <c r="D29" s="9"/>
      <c r="E29" s="9"/>
      <c r="F29" s="9"/>
      <c r="G29" s="13" t="s">
        <v>126</v>
      </c>
      <c r="H29" s="4" t="s">
        <v>5</v>
      </c>
      <c r="I29" s="3"/>
    </row>
    <row r="30" spans="1:9" x14ac:dyDescent="0.25">
      <c r="A30" s="9">
        <v>3</v>
      </c>
      <c r="B30" s="10" t="s">
        <v>71</v>
      </c>
      <c r="C30" s="27"/>
      <c r="D30" s="9"/>
      <c r="E30" s="9"/>
      <c r="F30" s="9"/>
      <c r="G30" s="13" t="s">
        <v>123</v>
      </c>
      <c r="H30" s="4" t="s">
        <v>5</v>
      </c>
      <c r="I30" s="3"/>
    </row>
    <row r="31" spans="1:9" ht="30" x14ac:dyDescent="0.25">
      <c r="A31" s="9">
        <v>3.1</v>
      </c>
      <c r="B31" s="25" t="s">
        <v>108</v>
      </c>
      <c r="C31" s="9">
        <v>0</v>
      </c>
      <c r="D31" s="9"/>
      <c r="E31" s="9"/>
      <c r="F31" s="9"/>
      <c r="G31" s="13" t="s">
        <v>123</v>
      </c>
      <c r="H31" s="4" t="s">
        <v>5</v>
      </c>
      <c r="I31" s="3"/>
    </row>
    <row r="32" spans="1:9" ht="30" x14ac:dyDescent="0.25">
      <c r="A32" s="9">
        <v>3.2</v>
      </c>
      <c r="B32" s="25" t="s">
        <v>109</v>
      </c>
      <c r="C32" s="9">
        <v>0</v>
      </c>
      <c r="D32" s="9"/>
      <c r="E32" s="9"/>
      <c r="F32" s="9"/>
      <c r="G32" s="13" t="s">
        <v>123</v>
      </c>
      <c r="H32" s="4" t="s">
        <v>5</v>
      </c>
      <c r="I32" s="3"/>
    </row>
    <row r="33" spans="1:9" ht="30" x14ac:dyDescent="0.25">
      <c r="A33" s="9">
        <v>3.3</v>
      </c>
      <c r="B33" s="25" t="s">
        <v>110</v>
      </c>
      <c r="C33" s="9">
        <v>0</v>
      </c>
      <c r="D33" s="9"/>
      <c r="E33" s="9"/>
      <c r="F33" s="9"/>
      <c r="G33" s="13" t="s">
        <v>123</v>
      </c>
      <c r="H33" s="4" t="s">
        <v>5</v>
      </c>
      <c r="I33" s="3"/>
    </row>
    <row r="34" spans="1:9" x14ac:dyDescent="0.25">
      <c r="A34" s="9">
        <v>4</v>
      </c>
      <c r="B34" s="10" t="s">
        <v>73</v>
      </c>
      <c r="C34" s="27"/>
      <c r="D34" s="9"/>
      <c r="E34" s="9"/>
      <c r="F34" s="9"/>
      <c r="G34" s="13" t="s">
        <v>68</v>
      </c>
      <c r="H34" s="4" t="s">
        <v>5</v>
      </c>
      <c r="I34" s="3"/>
    </row>
    <row r="35" spans="1:9" ht="30" x14ac:dyDescent="0.25">
      <c r="A35" s="9">
        <v>4.0999999999999996</v>
      </c>
      <c r="B35" s="25" t="s">
        <v>111</v>
      </c>
      <c r="C35" s="9">
        <v>0</v>
      </c>
      <c r="D35" s="9"/>
      <c r="E35" s="9"/>
      <c r="F35" s="9"/>
      <c r="G35" s="13" t="s">
        <v>68</v>
      </c>
      <c r="H35" s="4" t="s">
        <v>5</v>
      </c>
      <c r="I35" s="3"/>
    </row>
    <row r="36" spans="1:9" ht="30" x14ac:dyDescent="0.25">
      <c r="A36" s="9">
        <v>4.2</v>
      </c>
      <c r="B36" s="25" t="s">
        <v>112</v>
      </c>
      <c r="C36" s="9">
        <v>0</v>
      </c>
      <c r="D36" s="9"/>
      <c r="E36" s="9"/>
      <c r="F36" s="9"/>
      <c r="G36" s="13" t="s">
        <v>68</v>
      </c>
      <c r="H36" s="4" t="s">
        <v>5</v>
      </c>
      <c r="I36" s="3"/>
    </row>
    <row r="37" spans="1:9" x14ac:dyDescent="0.25">
      <c r="A37" s="9">
        <v>5</v>
      </c>
      <c r="B37" s="10" t="s">
        <v>127</v>
      </c>
      <c r="C37" s="27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25">
      <c r="A38" s="9">
        <v>5.0999999999999996</v>
      </c>
      <c r="B38" s="10" t="s">
        <v>77</v>
      </c>
      <c r="C38" s="9">
        <v>0</v>
      </c>
      <c r="D38" s="9"/>
      <c r="E38" s="9"/>
      <c r="F38" s="9"/>
      <c r="G38" s="13" t="s">
        <v>122</v>
      </c>
      <c r="H38" s="4" t="s">
        <v>5</v>
      </c>
      <c r="I38" s="3"/>
    </row>
    <row r="39" spans="1:9" x14ac:dyDescent="0.25">
      <c r="A39" s="9">
        <v>5.2</v>
      </c>
      <c r="B39" s="10" t="s">
        <v>113</v>
      </c>
      <c r="C39" s="9">
        <v>0</v>
      </c>
      <c r="D39" s="9"/>
      <c r="E39" s="9"/>
      <c r="F39" s="9"/>
      <c r="G39" s="13" t="s">
        <v>68</v>
      </c>
      <c r="H39" s="4" t="s">
        <v>5</v>
      </c>
      <c r="I39" s="3"/>
    </row>
    <row r="40" spans="1:9" x14ac:dyDescent="0.25">
      <c r="A40" s="9">
        <v>5.3</v>
      </c>
      <c r="B40" s="10" t="s">
        <v>72</v>
      </c>
      <c r="C40" s="9">
        <v>0</v>
      </c>
      <c r="D40" s="9"/>
      <c r="E40" s="9"/>
      <c r="F40" s="9"/>
      <c r="G40" s="13" t="s">
        <v>124</v>
      </c>
      <c r="H40" s="4" t="s">
        <v>5</v>
      </c>
      <c r="I40" s="3"/>
    </row>
    <row r="41" spans="1:9" x14ac:dyDescent="0.25">
      <c r="A41" s="9">
        <v>5.4</v>
      </c>
      <c r="B41" s="10" t="s">
        <v>128</v>
      </c>
      <c r="C41" s="9">
        <v>0</v>
      </c>
      <c r="D41" s="9"/>
      <c r="E41" s="9"/>
      <c r="F41" s="9"/>
      <c r="G41" s="13" t="s">
        <v>65</v>
      </c>
      <c r="H41" s="4" t="s">
        <v>5</v>
      </c>
      <c r="I41" s="3"/>
    </row>
    <row r="42" spans="1:9" x14ac:dyDescent="0.25">
      <c r="A42" s="9">
        <v>5.5</v>
      </c>
      <c r="B42" s="10" t="s">
        <v>129</v>
      </c>
      <c r="C42" s="9">
        <v>0</v>
      </c>
      <c r="D42" s="9"/>
      <c r="E42" s="9"/>
      <c r="F42" s="9"/>
      <c r="G42" s="13" t="s">
        <v>65</v>
      </c>
      <c r="H42" s="4" t="s">
        <v>5</v>
      </c>
      <c r="I42" s="3"/>
    </row>
    <row r="43" spans="1:9" x14ac:dyDescent="0.25">
      <c r="A43" s="5"/>
      <c r="C43" s="11">
        <v>19</v>
      </c>
      <c r="I43" s="3"/>
    </row>
    <row r="44" spans="1:9" x14ac:dyDescent="0.25">
      <c r="I44" s="3"/>
    </row>
    <row r="45" spans="1:9" x14ac:dyDescent="0.25">
      <c r="I45" s="3"/>
    </row>
    <row r="46" spans="1:9" x14ac:dyDescent="0.25">
      <c r="A46" s="3"/>
      <c r="C46"/>
      <c r="D46"/>
      <c r="E46"/>
      <c r="F46"/>
      <c r="G46"/>
      <c r="H46"/>
      <c r="I46"/>
    </row>
    <row r="47" spans="1:9" x14ac:dyDescent="0.25">
      <c r="I47" s="3"/>
    </row>
    <row r="48" spans="1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</sheetData>
  <mergeCells count="1">
    <mergeCell ref="A2:H2"/>
  </mergeCells>
  <conditionalFormatting sqref="E37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 E43 E47:E1048576 E1 E3">
    <cfRule type="colorScale" priority="3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5 F43 F47:F1048576 F1 F3">
    <cfRule type="colorScale" priority="3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E39 E4:E36 E42">
    <cfRule type="colorScale" priority="3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39 F4:F36 F42">
    <cfRule type="colorScale" priority="3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45:H1048576 H4:H43" xr:uid="{8C304D55-C56A-4309-B633-DBEB25103BBD}">
      <formula1>"ToDo, In Progress, Complete"</formula1>
    </dataValidation>
    <dataValidation type="list" allowBlank="1" showInputMessage="1" showErrorMessage="1" sqref="G45:G1048576 G43" xr:uid="{98E94C6E-DFF0-47E0-9288-5BD238208A9D}">
      <formula1>#REF!</formula1>
    </dataValidation>
    <dataValidation showInputMessage="1" showErrorMessage="1" sqref="A46 I47:I60 I2:I45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project</vt:lpstr>
      <vt:lpstr>TimeSheetReal</vt:lpstr>
      <vt:lpstr>TimeSheet</vt:lpstr>
      <vt:lpstr>PDR Task List</vt:lpstr>
      <vt:lpstr>'PDR Task List'!totalHours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2024-03-08T16:59:28Z</dcterms:modified>
</cp:coreProperties>
</file>